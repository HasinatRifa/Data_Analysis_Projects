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ifa\Data Analytics\"/>
    </mc:Choice>
  </mc:AlternateContent>
  <xr:revisionPtr revIDLastSave="0" documentId="13_ncr:1_{C249CC0D-7A54-4C44-B60B-FCA187B550C4}" xr6:coauthVersionLast="47" xr6:coauthVersionMax="47" xr10:uidLastSave="{00000000-0000-0000-0000-000000000000}"/>
  <bookViews>
    <workbookView xWindow="-108" yWindow="-108" windowWidth="23256" windowHeight="12456" activeTab="1" xr2:uid="{2CCA7C86-77B5-4B74-9DFB-5A1ED8904F47}"/>
  </bookViews>
  <sheets>
    <sheet name="GDP_1975_2025_uploaded" sheetId="1" r:id="rId1"/>
    <sheet name="Data for 1st chart" sheetId="2" r:id="rId2"/>
    <sheet name="Rough for 1st chart" sheetId="3" r:id="rId3"/>
    <sheet name="Data for 2nd chart" sheetId="6" r:id="rId4"/>
    <sheet name="Rough for 2nd chart" sheetId="5" r:id="rId5"/>
    <sheet name="GDP_Dashboard" sheetId="4" r:id="rId6"/>
  </sheets>
  <definedNames>
    <definedName name="Average_BD">'Rough for 1st chart'!$F$8</definedName>
    <definedName name="Average_other">'Rough for 1st chart'!$F$7</definedName>
    <definedName name="_xlnm.Criteria" localSheetId="2">'Rough for 1st chart'!$C$1:$C$6</definedName>
    <definedName name="_xlnm.Criteria" localSheetId="4">'Rough for 2nd chart'!$B$1:$B$16</definedName>
    <definedName name="_xlnm.Extract" localSheetId="2">'Rough for 1st chart'!$F$7:$BE$7</definedName>
    <definedName name="_xlnm.Extract" localSheetId="4">'Rough for 2nd chart'!$BC$12:$BF$12</definedName>
    <definedName name="percent">'Rough for 2nd chart'!$F$9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5" l="1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AJ7" i="5"/>
  <c r="AK7" i="5"/>
  <c r="AL7" i="5"/>
  <c r="AM7" i="5"/>
  <c r="AN7" i="5"/>
  <c r="AO7" i="5"/>
  <c r="AP7" i="5"/>
  <c r="AQ7" i="5"/>
  <c r="AR7" i="5"/>
  <c r="AS7" i="5"/>
  <c r="AT7" i="5"/>
  <c r="AU7" i="5"/>
  <c r="AV7" i="5"/>
  <c r="AW7" i="5"/>
  <c r="AX7" i="5"/>
  <c r="AY7" i="5"/>
  <c r="AZ7" i="5"/>
  <c r="BA7" i="5"/>
  <c r="BB7" i="5"/>
  <c r="BC7" i="5"/>
  <c r="BD7" i="5"/>
  <c r="F7" i="5"/>
  <c r="E7" i="5"/>
  <c r="E3" i="5"/>
  <c r="F8" i="3"/>
  <c r="G3" i="5"/>
  <c r="H3" i="5"/>
  <c r="I3" i="5"/>
  <c r="J3" i="5"/>
  <c r="K3" i="5"/>
  <c r="L3" i="5"/>
  <c r="M3" i="5"/>
  <c r="N3" i="5"/>
  <c r="O3" i="5"/>
  <c r="P3" i="5"/>
  <c r="Q3" i="5"/>
  <c r="R3" i="5"/>
  <c r="S3" i="5"/>
  <c r="T3" i="5"/>
  <c r="U3" i="5"/>
  <c r="V3" i="5"/>
  <c r="W3" i="5"/>
  <c r="X3" i="5"/>
  <c r="Y3" i="5"/>
  <c r="Z3" i="5"/>
  <c r="AA3" i="5"/>
  <c r="AB3" i="5"/>
  <c r="AC3" i="5"/>
  <c r="AD3" i="5"/>
  <c r="AE3" i="5"/>
  <c r="AF3" i="5"/>
  <c r="AG3" i="5"/>
  <c r="AH3" i="5"/>
  <c r="AI3" i="5"/>
  <c r="AJ3" i="5"/>
  <c r="AK3" i="5"/>
  <c r="AL3" i="5"/>
  <c r="AM3" i="5"/>
  <c r="AN3" i="5"/>
  <c r="AO3" i="5"/>
  <c r="AP3" i="5"/>
  <c r="AQ3" i="5"/>
  <c r="AR3" i="5"/>
  <c r="AS3" i="5"/>
  <c r="AT3" i="5"/>
  <c r="AU3" i="5"/>
  <c r="AV3" i="5"/>
  <c r="AW3" i="5"/>
  <c r="AX3" i="5"/>
  <c r="AY3" i="5"/>
  <c r="AZ3" i="5"/>
  <c r="BA3" i="5"/>
  <c r="BB3" i="5"/>
  <c r="BC3" i="5"/>
  <c r="BD3" i="5"/>
  <c r="F3" i="5"/>
  <c r="B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AL4" i="3"/>
  <c r="AM4" i="3"/>
  <c r="AN4" i="3"/>
  <c r="AO4" i="3"/>
  <c r="AP4" i="3"/>
  <c r="AQ4" i="3"/>
  <c r="AR4" i="3"/>
  <c r="AS4" i="3"/>
  <c r="AT4" i="3"/>
  <c r="AU4" i="3"/>
  <c r="AV4" i="3"/>
  <c r="AW4" i="3"/>
  <c r="AX4" i="3"/>
  <c r="AY4" i="3"/>
  <c r="AZ4" i="3"/>
  <c r="BA4" i="3"/>
  <c r="BB4" i="3"/>
  <c r="BC4" i="3"/>
  <c r="BD4" i="3"/>
  <c r="G4" i="3"/>
  <c r="H4" i="3"/>
  <c r="I4" i="3"/>
  <c r="F4" i="3"/>
  <c r="E4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3" i="3"/>
  <c r="C3" i="3" s="1"/>
  <c r="B4" i="3"/>
  <c r="C4" i="3" s="1"/>
  <c r="B5" i="3"/>
  <c r="C5" i="3" s="1"/>
  <c r="B6" i="3"/>
  <c r="C6" i="3" s="1"/>
  <c r="B7" i="3"/>
  <c r="C7" i="3" s="1"/>
  <c r="B8" i="3"/>
  <c r="C8" i="3" s="1"/>
  <c r="B9" i="3"/>
  <c r="C9" i="3" s="1"/>
  <c r="B10" i="3"/>
  <c r="C10" i="3" s="1"/>
  <c r="B11" i="3"/>
  <c r="C11" i="3" s="1"/>
  <c r="B12" i="3"/>
  <c r="C12" i="3" s="1"/>
  <c r="B13" i="3"/>
  <c r="C13" i="3" s="1"/>
  <c r="B14" i="3"/>
  <c r="C14" i="3" s="1"/>
  <c r="B15" i="3"/>
  <c r="C15" i="3" s="1"/>
  <c r="B16" i="3"/>
  <c r="C16" i="3" s="1"/>
  <c r="B17" i="3"/>
  <c r="C17" i="3" s="1"/>
  <c r="B18" i="3"/>
  <c r="C18" i="3" s="1"/>
  <c r="B19" i="3"/>
  <c r="C19" i="3" s="1"/>
  <c r="B20" i="3"/>
  <c r="C20" i="3" s="1"/>
  <c r="B21" i="3"/>
  <c r="C21" i="3" s="1"/>
  <c r="B22" i="3"/>
  <c r="C22" i="3" s="1"/>
  <c r="B23" i="3"/>
  <c r="C23" i="3" s="1"/>
  <c r="B2" i="3"/>
  <c r="C2" i="3" s="1"/>
  <c r="F9" i="5" l="1"/>
  <c r="F7" i="3"/>
</calcChain>
</file>

<file path=xl/sharedStrings.xml><?xml version="1.0" encoding="utf-8"?>
<sst xmlns="http://schemas.openxmlformats.org/spreadsheetml/2006/main" count="365" uniqueCount="289">
  <si>
    <t>Country</t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</si>
  <si>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</si>
  <si>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</si>
  <si>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</si>
  <si>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</si>
  <si>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</si>
  <si>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</si>
  <si>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</si>
  <si>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</si>
  <si>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</si>
  <si>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</si>
  <si>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</si>
  <si>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</si>
  <si>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</si>
  <si>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</si>
  <si>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</si>
  <si>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</si>
  <si>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</si>
  <si>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</si>
  <si>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</si>
  <si>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</si>
  <si>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</si>
  <si>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</si>
  <si>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</si>
  <si>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</si>
  <si>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</si>
  <si>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</si>
  <si>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</si>
  <si>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</si>
  <si>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</si>
  <si>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</si>
  <si>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</si>
  <si>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</si>
  <si>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</si>
  <si>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Central African Republic</t>
  </si>
  <si>
    <t>Chad</t>
  </si>
  <si>
    <t>Chile</t>
  </si>
  <si>
    <t>China</t>
  </si>
  <si>
    <t>Colombia</t>
  </si>
  <si>
    <t>Comoros</t>
  </si>
  <si>
    <t>Costa Rica</t>
  </si>
  <si>
    <t>Croatia</t>
  </si>
  <si>
    <t>Cuba</t>
  </si>
  <si>
    <t>Cyprus</t>
  </si>
  <si>
    <t>Czech Republic</t>
  </si>
  <si>
    <t>Czechoslovakia</t>
  </si>
  <si>
    <t>DR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</si>
  <si>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</si>
  <si>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</si>
  <si>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</si>
  <si>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</si>
  <si>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</si>
  <si>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</si>
  <si>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</si>
  <si>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</si>
  <si>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</si>
  <si>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</si>
  <si>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</si>
  <si>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</si>
  <si>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Federated States of Micronesia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</si>
  <si>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</si>
  <si>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</si>
  <si>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</si>
  <si>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</si>
  <si>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</si>
  <si>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</si>
  <si>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</si>
  <si>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</si>
  <si>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</si>
  <si>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</si>
  <si>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</si>
  <si>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</si>
  <si>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</si>
  <si>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</si>
  <si>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</si>
  <si>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</si>
  <si>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</si>
  <si>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</si>
  <si>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</si>
  <si>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</si>
  <si>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</si>
  <si>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</si>
  <si>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</si>
  <si>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</si>
  <si>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</si>
  <si>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</si>
  <si>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Ivory Coast</t>
  </si>
  <si>
    <t>Jamaica</t>
  </si>
  <si>
    <t>Japan</t>
  </si>
  <si>
    <t>Jordan</t>
  </si>
  <si>
    <t>Kazakhstan</t>
  </si>
  <si>
    <t>Kenya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</si>
  <si>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</si>
  <si>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</si>
  <si>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</si>
  <si>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</si>
  <si>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</si>
  <si>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</si>
  <si>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</si>
  <si>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</si>
  <si>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</si>
  <si>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</si>
  <si>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</si>
  <si>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</si>
  <si>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</si>
  <si>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</si>
  <si>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</si>
  <si>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</si>
  <si>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</si>
  <si>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</si>
  <si>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</si>
  <si>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</si>
  <si>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</si>
  <si>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</si>
  <si>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</si>
  <si>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</si>
  <si>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</si>
  <si>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</si>
  <si>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</si>
  <si>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</si>
  <si>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</si>
  <si>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</si>
  <si>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</si>
  <si>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</si>
  <si>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</si>
  <si>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</si>
  <si>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</si>
  <si>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</si>
  <si>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</si>
  <si>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</si>
  <si>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</si>
  <si>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North Korea</t>
  </si>
  <si>
    <t>North Macedonia</t>
  </si>
  <si>
    <t>North Yemen</t>
  </si>
  <si>
    <t>Norway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</si>
  <si>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</si>
  <si>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</si>
  <si>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</si>
  <si>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</si>
  <si>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</si>
  <si>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</si>
  <si>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</si>
  <si>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</si>
  <si>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</si>
  <si>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</si>
  <si>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</si>
  <si>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</si>
  <si>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</si>
  <si>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Republic of the Congo</t>
  </si>
  <si>
    <t>Romania</t>
  </si>
  <si>
    <t>Russia</t>
  </si>
  <si>
    <t>Rwanda</t>
  </si>
  <si>
    <t>Saint Kitts and Nevis</t>
  </si>
  <si>
    <t>Saint Lucia</t>
  </si>
  <si>
    <t>Saint Vincent and the Grenadines</t>
  </si>
  <si>
    <t>Samoa</t>
  </si>
  <si>
    <t>San Marino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</si>
  <si>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</si>
  <si>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</si>
  <si>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</si>
  <si>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</si>
  <si>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</si>
  <si>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</si>
  <si>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</si>
  <si>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</si>
  <si>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</si>
  <si>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</si>
  <si>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</si>
  <si>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</si>
  <si>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</si>
  <si>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South Yemen</t>
  </si>
  <si>
    <t>Soviet Union</t>
  </si>
  <si>
    <t>Spain</t>
  </si>
  <si>
    <t>Sri Lanka</t>
  </si>
  <si>
    <t>Sudan</t>
  </si>
  <si>
    <t>Suriname</t>
  </si>
  <si>
    <t>Sweden</t>
  </si>
  <si>
    <t>Switzerland</t>
  </si>
  <si>
    <t>Syria</t>
  </si>
  <si>
    <t>SÃ£o TomÃ© and PrÃ­ncipe</t>
  </si>
  <si>
    <t>Taiwan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</si>
  <si>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</si>
  <si>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</si>
  <si>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</si>
  <si>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</si>
  <si>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</si>
  <si>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</si>
  <si>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</si>
  <si>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</si>
  <si>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</si>
  <si>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</si>
  <si>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</si>
  <si>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</si>
  <si>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</si>
  <si>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</si>
  <si>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</si>
  <si>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</si>
  <si>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</si>
  <si>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</si>
  <si>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</si>
  <si>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</si>
  <si>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</si>
  <si>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Yemen</t>
  </si>
  <si>
    <t>Yugoslavia</t>
  </si>
  <si>
    <t>Zambia</t>
  </si>
  <si>
    <t>Zimbabwe</t>
  </si>
  <si>
    <t>March 26, 1971: Bangladesh</t>
  </si>
  <si>
    <t>August 15, 1971: Bahrain</t>
  </si>
  <si>
    <t>September 3, 1971: Qatar</t>
  </si>
  <si>
    <t>November 2, 1971: The United Arab Emirates</t>
  </si>
  <si>
    <t>July 10, 1973: The Bahamas</t>
  </si>
  <si>
    <t>September 24, 1973: Guinea-Bissau</t>
  </si>
  <si>
    <t>February 7, 1974: Grenada</t>
  </si>
  <si>
    <t>June 25, 1975: Mozambique</t>
  </si>
  <si>
    <t>July 5, 1975: Cape Verde</t>
  </si>
  <si>
    <t>July 6, 1975: Comoros</t>
  </si>
  <si>
    <t>July 12, 1975: Sao Tome and Principe</t>
  </si>
  <si>
    <t>September 16, 1975: Papua New Guinea</t>
  </si>
  <si>
    <t>November 11, 1975: Angola</t>
  </si>
  <si>
    <t>November 25, 1975: Suriname</t>
  </si>
  <si>
    <t>June 29, 1976: Seychelles</t>
  </si>
  <si>
    <t>June 27, 1977: Djibouti</t>
  </si>
  <si>
    <t>July 7, 1978: The Solomon Islands</t>
  </si>
  <si>
    <t>October 1, 1978: Tuvalu</t>
  </si>
  <si>
    <t>November 3, 1978: Dominica</t>
  </si>
  <si>
    <t>February 22, 1979: Saint Lucia</t>
  </si>
  <si>
    <t>July 12, 1979: Kiribati</t>
  </si>
  <si>
    <t>October 27, 1979: Saint Vincent and the Grenadines</t>
  </si>
  <si>
    <t>April 18, 1980: Zimbabwe</t>
  </si>
  <si>
    <t>July 30, 1980: Vanuatu</t>
  </si>
  <si>
    <t>January 11, 1981: Antigua and Barbuda</t>
  </si>
  <si>
    <t>September 21, 1981: Belize</t>
  </si>
  <si>
    <t>September 19, 1983: Saint Kitts and Nevis</t>
  </si>
  <si>
    <t>January 1, 1984: Brunei</t>
  </si>
  <si>
    <t>October 21, 1986: The Marshall Islands</t>
  </si>
  <si>
    <t>November 3, 1986: The Federated States of Micronesia</t>
  </si>
  <si>
    <t>March 11, 1990: Lithuania</t>
  </si>
  <si>
    <t>March 21, 1990: Namibia</t>
  </si>
  <si>
    <t>May 22, 1990: Yemen</t>
  </si>
  <si>
    <t>April 9, 1991: Georgia</t>
  </si>
  <si>
    <t>June 25, 1991: Croatia</t>
  </si>
  <si>
    <t>June 25, 1991: Slovenia</t>
  </si>
  <si>
    <t>August 21, 1991: Kyrgyzstan</t>
  </si>
  <si>
    <t>August 24, 1991: Russia</t>
  </si>
  <si>
    <t>August 25, 1991: Belarus</t>
  </si>
  <si>
    <t>August 27, 1991: Moldova</t>
  </si>
  <si>
    <t>August 30, 1991: Azerbaijan</t>
  </si>
  <si>
    <t>September 1, 1991: Uzbekistan</t>
  </si>
  <si>
    <t>September 6, 1991: Latvia</t>
  </si>
  <si>
    <t>September 8, 1991: Macedonia</t>
  </si>
  <si>
    <t>September 9, 1991: Tajikistan</t>
  </si>
  <si>
    <t>September 21, 1991: Armenia</t>
  </si>
  <si>
    <t>October 27, 1991: Turkmenistan</t>
  </si>
  <si>
    <t>November 24, 1991: Ukraine</t>
  </si>
  <si>
    <t>December 16, 1991: Kazakhstan</t>
  </si>
  <si>
    <t>March 3, 1992: Bosnia and Herzegovina</t>
  </si>
  <si>
    <t>January 1, 1993: The Czech Republic</t>
  </si>
  <si>
    <t>January 1, 1993: Slovakia</t>
  </si>
  <si>
    <t>May 24, 1993: Eritrea</t>
  </si>
  <si>
    <t>October 1, 1994: Palau</t>
  </si>
  <si>
    <t>May 20, 2002: East Timor</t>
  </si>
  <si>
    <t>June 3, 2006: Montenegro</t>
  </si>
  <si>
    <t>June 5, 2006: Serbia</t>
  </si>
  <si>
    <t>February 17, 2008: Kosovo</t>
  </si>
  <si>
    <t>July 9, 2011: South Sudan</t>
  </si>
  <si>
    <t>FIND, LEN and MID</t>
  </si>
  <si>
    <t>year</t>
  </si>
  <si>
    <t>Grenada (1983 invasion).​</t>
  </si>
  <si>
    <t>Panama (1989 invasion).​</t>
  </si>
  <si>
    <t>Iraq (1991 Gulf War, Operation Desert Storm).​</t>
  </si>
  <si>
    <t>Haiti (1994 intervention).​</t>
  </si>
  <si>
    <t>Kosovo (1999 NATO bombing)</t>
  </si>
  <si>
    <t>Afghanistan (2001–2021).</t>
  </si>
  <si>
    <t>Iraq (2003–2011, plus 2014–2021 vs. ISIS).</t>
  </si>
  <si>
    <t>Pakistan (2004–2018 drone strikes in tribal areas).</t>
  </si>
  <si>
    <t>Yemen (2002–present vs. AQAP, Houthis).</t>
  </si>
  <si>
    <t>Libya (2011 NATO intervention; 2015–2019 vs. ISIS).</t>
  </si>
  <si>
    <t>Syria (2014–present vs. ISIS, Assad strikes).</t>
  </si>
  <si>
    <t>Philippines (2002–2017 vs. jihadists).</t>
  </si>
  <si>
    <t>Niger/Sahel (2013–2024 vs. jihadists).</t>
  </si>
  <si>
    <t>Uganda/DRC (2011–2017 vs. LRA).</t>
  </si>
  <si>
    <t>LEFT and FIND</t>
  </si>
  <si>
    <t>Somalia (1992–1993, Operation Restore Hope, 2007–present vs. al-Shabaab).​</t>
  </si>
  <si>
    <t>Year</t>
  </si>
  <si>
    <t>average for other country</t>
  </si>
  <si>
    <t>average for bangladesh</t>
  </si>
  <si>
    <t>VS</t>
  </si>
  <si>
    <t>percent of us gdp</t>
  </si>
  <si>
    <t>GDP Comparison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</si>
</sst>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4" formatCode="_(&quot;$&quot;* #,##0.00_);_(&quot;$&quot;* \(#,##0.00\);_(&quot;$&quot;* &quot;-&quot;??_);_(@_)"/>
    <numFmt numFmtId="164" formatCode="_([$$-409]* #,##0_);_([$$-409]* \(#,##0\);_([$$-409]* &quot;-&quot;??_);_(@_)"/>
    <numFmt numFmtId="165" formatCode="[$-409]mmmm\ d\,\ yyyy;@"/>
    <numFmt numFmtId="166" formatCode="_(&quot;$&quot;* #,##0_);_(&quot;$&quot;* \(#,##0\);_(&quot;$&quot;* &quot;-&quot;??_);_(@_)"/>
    <numFmt numFmtId="167" formatCode="0.00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282828"/>
      <name val="Georgia"/>
      <family val="1"/>
    </font>
    <font>
      <u/>
      <sz val="11"/>
      <color theme="10"/>
      <name val="Calibri"/>
      <family val="2"/>
      <scheme val="minor"/>
    </font>
    <font>
      <sz val="10"/>
      <color theme="1"/>
      <name val="Segoe U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rgb="FF3F3F76"/>
      <name val="Calibri"/>
      <family val="2"/>
      <scheme val="minor"/>
    </font>
    <font>
      <b/>
      <sz val="20"/>
      <color theme="3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9">
    <xf numFmtId="0" fontId="0" fillId="0" borderId="0" xfId="0"/>
    <xf numFmtId="164" fontId="0" fillId="0" borderId="0" xfId="0" applyNumberFormat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9" fillId="0" borderId="0" xfId="42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5" fontId="18" fillId="0" borderId="0" xfId="0" applyNumberFormat="1" applyFont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166" fontId="0" fillId="0" borderId="0" xfId="43" applyNumberFormat="1" applyFont="1"/>
    <xf numFmtId="0" fontId="20" fillId="0" borderId="0" xfId="0" applyFont="1" applyAlignment="1">
      <alignment horizontal="left" vertical="center" wrapText="1" indent="1"/>
    </xf>
    <xf numFmtId="0" fontId="0" fillId="0" borderId="0" xfId="0" applyAlignment="1">
      <alignment wrapText="1"/>
    </xf>
    <xf numFmtId="0" fontId="20" fillId="0" borderId="0" xfId="0" applyFont="1" applyAlignment="1">
      <alignment horizontal="left" vertical="center" wrapText="1"/>
    </xf>
    <xf numFmtId="0" fontId="16" fillId="0" borderId="0" xfId="0" applyFont="1" applyAlignment="1">
      <alignment wrapText="1"/>
    </xf>
    <xf numFmtId="0" fontId="16" fillId="0" borderId="0" xfId="0" applyFont="1"/>
    <xf numFmtId="166" fontId="0" fillId="0" borderId="0" xfId="0" applyNumberFormat="1"/>
    <xf numFmtId="0" fontId="0" fillId="0" borderId="0" xfId="0" applyAlignment="1">
      <alignment horizontal="center"/>
    </xf>
    <xf numFmtId="0" fontId="16" fillId="0" borderId="0" xfId="0" applyFont="1" applyAlignment="1">
      <alignment vertical="center"/>
    </xf>
    <xf numFmtId="0" fontId="0" fillId="0" borderId="0" xfId="0" applyAlignment="1">
      <alignment vertical="center"/>
    </xf>
    <xf numFmtId="166" fontId="0" fillId="0" borderId="0" xfId="44" applyNumberFormat="1" applyFont="1"/>
    <xf numFmtId="167" fontId="0" fillId="0" borderId="0" xfId="44" applyNumberFormat="1" applyFont="1"/>
    <xf numFmtId="0" fontId="21" fillId="0" borderId="0" xfId="0" applyFont="1" applyAlignment="1">
      <alignment horizontal="center" vertical="center"/>
    </xf>
    <xf numFmtId="0" fontId="22" fillId="0" borderId="0" xfId="0" applyFont="1"/>
    <xf numFmtId="0" fontId="24" fillId="0" borderId="0" xfId="2" applyFont="1" applyBorder="1"/>
    <xf numFmtId="0" fontId="23" fillId="33" borderId="4" xfId="9" applyFont="1" applyFill="1" applyAlignment="1" applyProtection="1">
      <alignment horizontal="center" vertical="center" wrapText="1"/>
      <protection locked="0"/>
    </xf>
    <xf numFmtId="0" fontId="23" fillId="33" borderId="4" xfId="9" applyFont="1" applyFill="1" applyAlignment="1" applyProtection="1">
      <alignment horizontal="center" vertical="center"/>
      <protection locked="0"/>
    </xf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4" fillId="0" borderId="10" xfId="2" applyFont="1" applyBorder="1" applyAlignment="1">
      <alignment horizontal="center" vertical="center"/>
    </xf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3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4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PivotTable Style 1" table="0" count="0" xr9:uid="{80AC2C68-61ED-4526-B9D9-7C23B20B08D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Bangladesh vs Countries Independent</a:t>
            </a:r>
            <a:r>
              <a:rPr lang="en-US" b="1" baseline="0"/>
              <a:t> After 1971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'Rough for 1st chart'!$E$4</c:f>
              <c:strCache>
                <c:ptCount val="1"/>
                <c:pt idx="0">
                  <c:v>Angola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'Rough for 1st chart'!$F$3:$BD$3</c:f>
              <c:numCache>
                <c:formatCode>General</c:formatCode>
                <c:ptCount val="51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  <c:pt idx="13">
                  <c:v>1988</c:v>
                </c:pt>
                <c:pt idx="14">
                  <c:v>1989</c:v>
                </c:pt>
                <c:pt idx="15">
                  <c:v>1990</c:v>
                </c:pt>
                <c:pt idx="16">
                  <c:v>1991</c:v>
                </c:pt>
                <c:pt idx="17">
                  <c:v>1992</c:v>
                </c:pt>
                <c:pt idx="18">
                  <c:v>1993</c:v>
                </c:pt>
                <c:pt idx="19">
                  <c:v>1994</c:v>
                </c:pt>
                <c:pt idx="20">
                  <c:v>1995</c:v>
                </c:pt>
                <c:pt idx="21">
                  <c:v>1996</c:v>
                </c:pt>
                <c:pt idx="22">
                  <c:v>1997</c:v>
                </c:pt>
                <c:pt idx="23">
                  <c:v>1998</c:v>
                </c:pt>
                <c:pt idx="24">
                  <c:v>1999</c:v>
                </c:pt>
                <c:pt idx="25">
                  <c:v>2000</c:v>
                </c:pt>
                <c:pt idx="26">
                  <c:v>2001</c:v>
                </c:pt>
                <c:pt idx="27">
                  <c:v>2002</c:v>
                </c:pt>
                <c:pt idx="28">
                  <c:v>2003</c:v>
                </c:pt>
                <c:pt idx="29">
                  <c:v>2004</c:v>
                </c:pt>
                <c:pt idx="30">
                  <c:v>2005</c:v>
                </c:pt>
                <c:pt idx="31">
                  <c:v>2006</c:v>
                </c:pt>
                <c:pt idx="32">
                  <c:v>2007</c:v>
                </c:pt>
                <c:pt idx="33">
                  <c:v>2008</c:v>
                </c:pt>
                <c:pt idx="34">
                  <c:v>2009</c:v>
                </c:pt>
                <c:pt idx="35">
                  <c:v>2010</c:v>
                </c:pt>
                <c:pt idx="36">
                  <c:v>2011</c:v>
                </c:pt>
                <c:pt idx="37">
                  <c:v>2012</c:v>
                </c:pt>
                <c:pt idx="38">
                  <c:v>2013</c:v>
                </c:pt>
                <c:pt idx="39">
                  <c:v>2014</c:v>
                </c:pt>
                <c:pt idx="40">
                  <c:v>2015</c:v>
                </c:pt>
                <c:pt idx="41">
                  <c:v>2016</c:v>
                </c:pt>
                <c:pt idx="42">
                  <c:v>2017</c:v>
                </c:pt>
                <c:pt idx="43">
                  <c:v>2018</c:v>
                </c:pt>
                <c:pt idx="44">
                  <c:v>2019</c:v>
                </c:pt>
                <c:pt idx="45">
                  <c:v>2020</c:v>
                </c:pt>
                <c:pt idx="46">
                  <c:v>2021</c:v>
                </c:pt>
                <c:pt idx="47">
                  <c:v>2022</c:v>
                </c:pt>
                <c:pt idx="48">
                  <c:v>2023</c:v>
                </c:pt>
                <c:pt idx="49">
                  <c:v>2024</c:v>
                </c:pt>
                <c:pt idx="50">
                  <c:v>2025</c:v>
                </c:pt>
              </c:numCache>
            </c:numRef>
          </c:cat>
          <c:val>
            <c:numRef>
              <c:f>'Rough for 1st chart'!$F$4:$BD$4</c:f>
              <c:numCache>
                <c:formatCode>_("$"* #,##0_);_("$"* \(#,##0\);_("$"* "-"??_);_(@_)</c:formatCode>
                <c:ptCount val="51"/>
                <c:pt idx="0">
                  <c:v>4147</c:v>
                </c:pt>
                <c:pt idx="1">
                  <c:v>3981</c:v>
                </c:pt>
                <c:pt idx="2">
                  <c:v>4344</c:v>
                </c:pt>
                <c:pt idx="3">
                  <c:v>4845</c:v>
                </c:pt>
                <c:pt idx="4">
                  <c:v>5380</c:v>
                </c:pt>
                <c:pt idx="5">
                  <c:v>8730</c:v>
                </c:pt>
                <c:pt idx="6">
                  <c:v>8170</c:v>
                </c:pt>
                <c:pt idx="7">
                  <c:v>8170</c:v>
                </c:pt>
                <c:pt idx="8">
                  <c:v>8514</c:v>
                </c:pt>
                <c:pt idx="9">
                  <c:v>9025</c:v>
                </c:pt>
                <c:pt idx="10">
                  <c:v>11119</c:v>
                </c:pt>
                <c:pt idx="11">
                  <c:v>10411</c:v>
                </c:pt>
                <c:pt idx="12">
                  <c:v>11900</c:v>
                </c:pt>
                <c:pt idx="13">
                  <c:v>12909</c:v>
                </c:pt>
                <c:pt idx="14">
                  <c:v>15017</c:v>
                </c:pt>
                <c:pt idx="15">
                  <c:v>16529</c:v>
                </c:pt>
                <c:pt idx="16">
                  <c:v>16022</c:v>
                </c:pt>
                <c:pt idx="17">
                  <c:v>12354</c:v>
                </c:pt>
                <c:pt idx="18">
                  <c:v>8966</c:v>
                </c:pt>
                <c:pt idx="19">
                  <c:v>6529</c:v>
                </c:pt>
                <c:pt idx="20">
                  <c:v>8148</c:v>
                </c:pt>
                <c:pt idx="21">
                  <c:v>10510</c:v>
                </c:pt>
                <c:pt idx="22">
                  <c:v>12344</c:v>
                </c:pt>
                <c:pt idx="23">
                  <c:v>10464</c:v>
                </c:pt>
                <c:pt idx="24">
                  <c:v>9895</c:v>
                </c:pt>
                <c:pt idx="25">
                  <c:v>12646</c:v>
                </c:pt>
                <c:pt idx="26">
                  <c:v>12378</c:v>
                </c:pt>
                <c:pt idx="27">
                  <c:v>17312</c:v>
                </c:pt>
                <c:pt idx="28">
                  <c:v>20342</c:v>
                </c:pt>
                <c:pt idx="29">
                  <c:v>26998</c:v>
                </c:pt>
                <c:pt idx="30">
                  <c:v>41397</c:v>
                </c:pt>
                <c:pt idx="31">
                  <c:v>58654</c:v>
                </c:pt>
                <c:pt idx="32">
                  <c:v>73038</c:v>
                </c:pt>
                <c:pt idx="33">
                  <c:v>98790</c:v>
                </c:pt>
                <c:pt idx="34">
                  <c:v>81705</c:v>
                </c:pt>
                <c:pt idx="35">
                  <c:v>95547</c:v>
                </c:pt>
                <c:pt idx="36">
                  <c:v>125552</c:v>
                </c:pt>
                <c:pt idx="37">
                  <c:v>143573</c:v>
                </c:pt>
                <c:pt idx="38">
                  <c:v>153761</c:v>
                </c:pt>
                <c:pt idx="39">
                  <c:v>164448</c:v>
                </c:pt>
                <c:pt idx="40">
                  <c:v>131661</c:v>
                </c:pt>
                <c:pt idx="41">
                  <c:v>114764</c:v>
                </c:pt>
                <c:pt idx="42">
                  <c:v>139835</c:v>
                </c:pt>
                <c:pt idx="43">
                  <c:v>114189</c:v>
                </c:pt>
                <c:pt idx="44">
                  <c:v>94671</c:v>
                </c:pt>
                <c:pt idx="45">
                  <c:v>66521</c:v>
                </c:pt>
                <c:pt idx="46">
                  <c:v>84375</c:v>
                </c:pt>
                <c:pt idx="47">
                  <c:v>142442</c:v>
                </c:pt>
                <c:pt idx="48">
                  <c:v>109764</c:v>
                </c:pt>
                <c:pt idx="49">
                  <c:v>115946</c:v>
                </c:pt>
                <c:pt idx="50">
                  <c:v>113343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D2-466A-A10A-E872C02984B6}"/>
            </c:ext>
          </c:extLst>
        </c:ser>
        <c:ser>
          <c:idx val="1"/>
          <c:order val="1"/>
          <c:tx>
            <c:strRef>
              <c:f>'Rough for 1st chart'!$E$5</c:f>
              <c:strCache>
                <c:ptCount val="1"/>
                <c:pt idx="0">
                  <c:v>Bangladesh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'Rough for 1st chart'!$F$3:$BD$3</c:f>
              <c:numCache>
                <c:formatCode>General</c:formatCode>
                <c:ptCount val="51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  <c:pt idx="13">
                  <c:v>1988</c:v>
                </c:pt>
                <c:pt idx="14">
                  <c:v>1989</c:v>
                </c:pt>
                <c:pt idx="15">
                  <c:v>1990</c:v>
                </c:pt>
                <c:pt idx="16">
                  <c:v>1991</c:v>
                </c:pt>
                <c:pt idx="17">
                  <c:v>1992</c:v>
                </c:pt>
                <c:pt idx="18">
                  <c:v>1993</c:v>
                </c:pt>
                <c:pt idx="19">
                  <c:v>1994</c:v>
                </c:pt>
                <c:pt idx="20">
                  <c:v>1995</c:v>
                </c:pt>
                <c:pt idx="21">
                  <c:v>1996</c:v>
                </c:pt>
                <c:pt idx="22">
                  <c:v>1997</c:v>
                </c:pt>
                <c:pt idx="23">
                  <c:v>1998</c:v>
                </c:pt>
                <c:pt idx="24">
                  <c:v>1999</c:v>
                </c:pt>
                <c:pt idx="25">
                  <c:v>2000</c:v>
                </c:pt>
                <c:pt idx="26">
                  <c:v>2001</c:v>
                </c:pt>
                <c:pt idx="27">
                  <c:v>2002</c:v>
                </c:pt>
                <c:pt idx="28">
                  <c:v>2003</c:v>
                </c:pt>
                <c:pt idx="29">
                  <c:v>2004</c:v>
                </c:pt>
                <c:pt idx="30">
                  <c:v>2005</c:v>
                </c:pt>
                <c:pt idx="31">
                  <c:v>2006</c:v>
                </c:pt>
                <c:pt idx="32">
                  <c:v>2007</c:v>
                </c:pt>
                <c:pt idx="33">
                  <c:v>2008</c:v>
                </c:pt>
                <c:pt idx="34">
                  <c:v>2009</c:v>
                </c:pt>
                <c:pt idx="35">
                  <c:v>2010</c:v>
                </c:pt>
                <c:pt idx="36">
                  <c:v>2011</c:v>
                </c:pt>
                <c:pt idx="37">
                  <c:v>2012</c:v>
                </c:pt>
                <c:pt idx="38">
                  <c:v>2013</c:v>
                </c:pt>
                <c:pt idx="39">
                  <c:v>2014</c:v>
                </c:pt>
                <c:pt idx="40">
                  <c:v>2015</c:v>
                </c:pt>
                <c:pt idx="41">
                  <c:v>2016</c:v>
                </c:pt>
                <c:pt idx="42">
                  <c:v>2017</c:v>
                </c:pt>
                <c:pt idx="43">
                  <c:v>2018</c:v>
                </c:pt>
                <c:pt idx="44">
                  <c:v>2019</c:v>
                </c:pt>
                <c:pt idx="45">
                  <c:v>2020</c:v>
                </c:pt>
                <c:pt idx="46">
                  <c:v>2021</c:v>
                </c:pt>
                <c:pt idx="47">
                  <c:v>2022</c:v>
                </c:pt>
                <c:pt idx="48">
                  <c:v>2023</c:v>
                </c:pt>
                <c:pt idx="49">
                  <c:v>2024</c:v>
                </c:pt>
                <c:pt idx="50">
                  <c:v>2025</c:v>
                </c:pt>
              </c:numCache>
            </c:numRef>
          </c:cat>
          <c:val>
            <c:numRef>
              <c:f>'Rough for 1st chart'!$F$5:$BD$5</c:f>
              <c:numCache>
                <c:formatCode>_([$$-409]* #,##0_);_([$$-409]* \(#,##0\);_([$$-409]* "-"??_);_(@_)</c:formatCode>
                <c:ptCount val="51"/>
                <c:pt idx="0">
                  <c:v>8476</c:v>
                </c:pt>
                <c:pt idx="1">
                  <c:v>9447</c:v>
                </c:pt>
                <c:pt idx="2">
                  <c:v>9950</c:v>
                </c:pt>
                <c:pt idx="3">
                  <c:v>12751</c:v>
                </c:pt>
                <c:pt idx="4">
                  <c:v>14758</c:v>
                </c:pt>
                <c:pt idx="5">
                  <c:v>24775</c:v>
                </c:pt>
                <c:pt idx="6">
                  <c:v>26355</c:v>
                </c:pt>
                <c:pt idx="7">
                  <c:v>24678</c:v>
                </c:pt>
                <c:pt idx="8">
                  <c:v>23904</c:v>
                </c:pt>
                <c:pt idx="9">
                  <c:v>26817</c:v>
                </c:pt>
                <c:pt idx="10">
                  <c:v>28819</c:v>
                </c:pt>
                <c:pt idx="11">
                  <c:v>29639</c:v>
                </c:pt>
                <c:pt idx="12">
                  <c:v>32449</c:v>
                </c:pt>
                <c:pt idx="13">
                  <c:v>34914</c:v>
                </c:pt>
                <c:pt idx="14">
                  <c:v>38070</c:v>
                </c:pt>
                <c:pt idx="15">
                  <c:v>41068</c:v>
                </c:pt>
                <c:pt idx="16">
                  <c:v>42488</c:v>
                </c:pt>
                <c:pt idx="17">
                  <c:v>43292</c:v>
                </c:pt>
                <c:pt idx="18">
                  <c:v>43684</c:v>
                </c:pt>
                <c:pt idx="19">
                  <c:v>46438</c:v>
                </c:pt>
                <c:pt idx="20">
                  <c:v>51842</c:v>
                </c:pt>
                <c:pt idx="21">
                  <c:v>55445</c:v>
                </c:pt>
                <c:pt idx="22">
                  <c:v>57599</c:v>
                </c:pt>
                <c:pt idx="23">
                  <c:v>59879</c:v>
                </c:pt>
                <c:pt idx="24">
                  <c:v>61526</c:v>
                </c:pt>
                <c:pt idx="25">
                  <c:v>61687</c:v>
                </c:pt>
                <c:pt idx="26">
                  <c:v>62537</c:v>
                </c:pt>
                <c:pt idx="27">
                  <c:v>65036</c:v>
                </c:pt>
                <c:pt idx="28">
                  <c:v>71755</c:v>
                </c:pt>
                <c:pt idx="29">
                  <c:v>77152</c:v>
                </c:pt>
                <c:pt idx="30">
                  <c:v>79530</c:v>
                </c:pt>
                <c:pt idx="31">
                  <c:v>86028</c:v>
                </c:pt>
                <c:pt idx="32">
                  <c:v>95374</c:v>
                </c:pt>
                <c:pt idx="33">
                  <c:v>109765</c:v>
                </c:pt>
                <c:pt idx="34">
                  <c:v>122760</c:v>
                </c:pt>
                <c:pt idx="35">
                  <c:v>138094</c:v>
                </c:pt>
                <c:pt idx="36">
                  <c:v>154097</c:v>
                </c:pt>
                <c:pt idx="37">
                  <c:v>159749</c:v>
                </c:pt>
                <c:pt idx="38">
                  <c:v>179676</c:v>
                </c:pt>
                <c:pt idx="39">
                  <c:v>207102</c:v>
                </c:pt>
                <c:pt idx="40">
                  <c:v>233687</c:v>
                </c:pt>
                <c:pt idx="41">
                  <c:v>265236</c:v>
                </c:pt>
                <c:pt idx="42">
                  <c:v>293755</c:v>
                </c:pt>
                <c:pt idx="43">
                  <c:v>321379</c:v>
                </c:pt>
                <c:pt idx="44">
                  <c:v>351238</c:v>
                </c:pt>
                <c:pt idx="45">
                  <c:v>373902</c:v>
                </c:pt>
                <c:pt idx="46">
                  <c:v>416265</c:v>
                </c:pt>
                <c:pt idx="47">
                  <c:v>460201</c:v>
                </c:pt>
                <c:pt idx="48">
                  <c:v>451534</c:v>
                </c:pt>
                <c:pt idx="49">
                  <c:v>451096</c:v>
                </c:pt>
                <c:pt idx="50">
                  <c:v>467218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D2-466A-A10A-E872C0298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0795232"/>
        <c:axId val="1160799072"/>
      </c:lineChart>
      <c:catAx>
        <c:axId val="11607952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799072"/>
        <c:crosses val="autoZero"/>
        <c:auto val="1"/>
        <c:lblAlgn val="ctr"/>
        <c:lblOffset val="100"/>
        <c:noMultiLvlLbl val="0"/>
      </c:catAx>
      <c:valAx>
        <c:axId val="11607990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GDP</a:t>
                </a:r>
                <a:r>
                  <a:rPr lang="en-US" baseline="0"/>
                  <a:t> (USD Billions)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795232"/>
        <c:crosses val="autoZero"/>
        <c:crossBetween val="between"/>
      </c:valAx>
      <c:spPr>
        <a:noFill/>
        <a:ln>
          <a:solidFill>
            <a:schemeClr val="bg1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USA vs Countries That</a:t>
            </a:r>
            <a:r>
              <a:rPr lang="en-US" b="1" baseline="0"/>
              <a:t> Suffered US-influenced Wars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'Rough for 2nd chart'!$E$3</c:f>
              <c:strCache>
                <c:ptCount val="1"/>
                <c:pt idx="0">
                  <c:v>Afghanistan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'Rough for 2nd chart'!$F$2:$BD$2</c:f>
              <c:numCache>
                <c:formatCode>General</c:formatCode>
                <c:ptCount val="51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  <c:pt idx="13">
                  <c:v>1988</c:v>
                </c:pt>
                <c:pt idx="14">
                  <c:v>1989</c:v>
                </c:pt>
                <c:pt idx="15">
                  <c:v>1990</c:v>
                </c:pt>
                <c:pt idx="16">
                  <c:v>1991</c:v>
                </c:pt>
                <c:pt idx="17">
                  <c:v>1992</c:v>
                </c:pt>
                <c:pt idx="18">
                  <c:v>1993</c:v>
                </c:pt>
                <c:pt idx="19">
                  <c:v>1994</c:v>
                </c:pt>
                <c:pt idx="20">
                  <c:v>1995</c:v>
                </c:pt>
                <c:pt idx="21">
                  <c:v>1996</c:v>
                </c:pt>
                <c:pt idx="22">
                  <c:v>1997</c:v>
                </c:pt>
                <c:pt idx="23">
                  <c:v>1998</c:v>
                </c:pt>
                <c:pt idx="24">
                  <c:v>1999</c:v>
                </c:pt>
                <c:pt idx="25">
                  <c:v>2000</c:v>
                </c:pt>
                <c:pt idx="26">
                  <c:v>2001</c:v>
                </c:pt>
                <c:pt idx="27">
                  <c:v>2002</c:v>
                </c:pt>
                <c:pt idx="28">
                  <c:v>2003</c:v>
                </c:pt>
                <c:pt idx="29">
                  <c:v>2004</c:v>
                </c:pt>
                <c:pt idx="30">
                  <c:v>2005</c:v>
                </c:pt>
                <c:pt idx="31">
                  <c:v>2006</c:v>
                </c:pt>
                <c:pt idx="32">
                  <c:v>2007</c:v>
                </c:pt>
                <c:pt idx="33">
                  <c:v>2008</c:v>
                </c:pt>
                <c:pt idx="34">
                  <c:v>2009</c:v>
                </c:pt>
                <c:pt idx="35">
                  <c:v>2010</c:v>
                </c:pt>
                <c:pt idx="36">
                  <c:v>2011</c:v>
                </c:pt>
                <c:pt idx="37">
                  <c:v>2012</c:v>
                </c:pt>
                <c:pt idx="38">
                  <c:v>2013</c:v>
                </c:pt>
                <c:pt idx="39">
                  <c:v>2014</c:v>
                </c:pt>
                <c:pt idx="40">
                  <c:v>2015</c:v>
                </c:pt>
                <c:pt idx="41">
                  <c:v>2016</c:v>
                </c:pt>
                <c:pt idx="42">
                  <c:v>2017</c:v>
                </c:pt>
                <c:pt idx="43">
                  <c:v>2018</c:v>
                </c:pt>
                <c:pt idx="44">
                  <c:v>2019</c:v>
                </c:pt>
                <c:pt idx="45">
                  <c:v>2020</c:v>
                </c:pt>
                <c:pt idx="46">
                  <c:v>2021</c:v>
                </c:pt>
                <c:pt idx="47">
                  <c:v>2022</c:v>
                </c:pt>
                <c:pt idx="48">
                  <c:v>2023</c:v>
                </c:pt>
                <c:pt idx="49">
                  <c:v>2024</c:v>
                </c:pt>
                <c:pt idx="50">
                  <c:v>2025</c:v>
                </c:pt>
              </c:numCache>
            </c:numRef>
          </c:cat>
          <c:val>
            <c:numRef>
              <c:f>'Rough for 2nd chart'!$F$3:$BD$3</c:f>
              <c:numCache>
                <c:formatCode>_("$"* #,##0_);_("$"* \(#,##0\);_("$"* "-"??_);_(@_)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4367</c:v>
                </c:pt>
                <c:pt idx="29">
                  <c:v>4553</c:v>
                </c:pt>
                <c:pt idx="30">
                  <c:v>5146</c:v>
                </c:pt>
                <c:pt idx="31">
                  <c:v>6167</c:v>
                </c:pt>
                <c:pt idx="32">
                  <c:v>6925</c:v>
                </c:pt>
                <c:pt idx="33">
                  <c:v>8556</c:v>
                </c:pt>
                <c:pt idx="34">
                  <c:v>10297</c:v>
                </c:pt>
                <c:pt idx="35">
                  <c:v>12066</c:v>
                </c:pt>
                <c:pt idx="36">
                  <c:v>15325</c:v>
                </c:pt>
                <c:pt idx="37">
                  <c:v>17890</c:v>
                </c:pt>
                <c:pt idx="38">
                  <c:v>20293</c:v>
                </c:pt>
                <c:pt idx="39">
                  <c:v>20170</c:v>
                </c:pt>
                <c:pt idx="40">
                  <c:v>20616</c:v>
                </c:pt>
                <c:pt idx="41">
                  <c:v>20057</c:v>
                </c:pt>
                <c:pt idx="42">
                  <c:v>18020</c:v>
                </c:pt>
                <c:pt idx="43">
                  <c:v>18883</c:v>
                </c:pt>
                <c:pt idx="44">
                  <c:v>18336</c:v>
                </c:pt>
                <c:pt idx="45">
                  <c:v>18876</c:v>
                </c:pt>
                <c:pt idx="46">
                  <c:v>20136</c:v>
                </c:pt>
                <c:pt idx="47">
                  <c:v>14278</c:v>
                </c:pt>
                <c:pt idx="48">
                  <c:v>14501</c:v>
                </c:pt>
                <c:pt idx="49">
                  <c:v>17248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69-4712-BEB7-A1F7B6E4DB13}"/>
            </c:ext>
          </c:extLst>
        </c:ser>
        <c:ser>
          <c:idx val="1"/>
          <c:order val="1"/>
          <c:tx>
            <c:strRef>
              <c:f>'Rough for 2nd chart'!$E$4</c:f>
              <c:strCache>
                <c:ptCount val="1"/>
                <c:pt idx="0">
                  <c:v>United States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'Rough for 2nd chart'!$F$2:$BD$2</c:f>
              <c:numCache>
                <c:formatCode>General</c:formatCode>
                <c:ptCount val="51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  <c:pt idx="13">
                  <c:v>1988</c:v>
                </c:pt>
                <c:pt idx="14">
                  <c:v>1989</c:v>
                </c:pt>
                <c:pt idx="15">
                  <c:v>1990</c:v>
                </c:pt>
                <c:pt idx="16">
                  <c:v>1991</c:v>
                </c:pt>
                <c:pt idx="17">
                  <c:v>1992</c:v>
                </c:pt>
                <c:pt idx="18">
                  <c:v>1993</c:v>
                </c:pt>
                <c:pt idx="19">
                  <c:v>1994</c:v>
                </c:pt>
                <c:pt idx="20">
                  <c:v>1995</c:v>
                </c:pt>
                <c:pt idx="21">
                  <c:v>1996</c:v>
                </c:pt>
                <c:pt idx="22">
                  <c:v>1997</c:v>
                </c:pt>
                <c:pt idx="23">
                  <c:v>1998</c:v>
                </c:pt>
                <c:pt idx="24">
                  <c:v>1999</c:v>
                </c:pt>
                <c:pt idx="25">
                  <c:v>2000</c:v>
                </c:pt>
                <c:pt idx="26">
                  <c:v>2001</c:v>
                </c:pt>
                <c:pt idx="27">
                  <c:v>2002</c:v>
                </c:pt>
                <c:pt idx="28">
                  <c:v>2003</c:v>
                </c:pt>
                <c:pt idx="29">
                  <c:v>2004</c:v>
                </c:pt>
                <c:pt idx="30">
                  <c:v>2005</c:v>
                </c:pt>
                <c:pt idx="31">
                  <c:v>2006</c:v>
                </c:pt>
                <c:pt idx="32">
                  <c:v>2007</c:v>
                </c:pt>
                <c:pt idx="33">
                  <c:v>2008</c:v>
                </c:pt>
                <c:pt idx="34">
                  <c:v>2009</c:v>
                </c:pt>
                <c:pt idx="35">
                  <c:v>2010</c:v>
                </c:pt>
                <c:pt idx="36">
                  <c:v>2011</c:v>
                </c:pt>
                <c:pt idx="37">
                  <c:v>2012</c:v>
                </c:pt>
                <c:pt idx="38">
                  <c:v>2013</c:v>
                </c:pt>
                <c:pt idx="39">
                  <c:v>2014</c:v>
                </c:pt>
                <c:pt idx="40">
                  <c:v>2015</c:v>
                </c:pt>
                <c:pt idx="41">
                  <c:v>2016</c:v>
                </c:pt>
                <c:pt idx="42">
                  <c:v>2017</c:v>
                </c:pt>
                <c:pt idx="43">
                  <c:v>2018</c:v>
                </c:pt>
                <c:pt idx="44">
                  <c:v>2019</c:v>
                </c:pt>
                <c:pt idx="45">
                  <c:v>2020</c:v>
                </c:pt>
                <c:pt idx="46">
                  <c:v>2021</c:v>
                </c:pt>
                <c:pt idx="47">
                  <c:v>2022</c:v>
                </c:pt>
                <c:pt idx="48">
                  <c:v>2023</c:v>
                </c:pt>
                <c:pt idx="49">
                  <c:v>2024</c:v>
                </c:pt>
                <c:pt idx="50">
                  <c:v>2025</c:v>
                </c:pt>
              </c:numCache>
            </c:numRef>
          </c:cat>
          <c:val>
            <c:numRef>
              <c:f>'Rough for 2nd chart'!$F$4:$BD$4</c:f>
              <c:numCache>
                <c:formatCode>_([$$-409]* #,##0_);_([$$-409]* \(#,##0\);_([$$-409]* "-"??_);_(@_)</c:formatCode>
                <c:ptCount val="51"/>
                <c:pt idx="0">
                  <c:v>1623400</c:v>
                </c:pt>
                <c:pt idx="1">
                  <c:v>1809100</c:v>
                </c:pt>
                <c:pt idx="2">
                  <c:v>2013600</c:v>
                </c:pt>
                <c:pt idx="3">
                  <c:v>2276000</c:v>
                </c:pt>
                <c:pt idx="4">
                  <c:v>2543500</c:v>
                </c:pt>
                <c:pt idx="5">
                  <c:v>2857325</c:v>
                </c:pt>
                <c:pt idx="6">
                  <c:v>3207025</c:v>
                </c:pt>
                <c:pt idx="7">
                  <c:v>3343800</c:v>
                </c:pt>
                <c:pt idx="8">
                  <c:v>3634025</c:v>
                </c:pt>
                <c:pt idx="9">
                  <c:v>4037650</c:v>
                </c:pt>
                <c:pt idx="10">
                  <c:v>4339000</c:v>
                </c:pt>
                <c:pt idx="11">
                  <c:v>4579625</c:v>
                </c:pt>
                <c:pt idx="12">
                  <c:v>4855250</c:v>
                </c:pt>
                <c:pt idx="13">
                  <c:v>5236425</c:v>
                </c:pt>
                <c:pt idx="14">
                  <c:v>5641600</c:v>
                </c:pt>
                <c:pt idx="15">
                  <c:v>5963125</c:v>
                </c:pt>
                <c:pt idx="16">
                  <c:v>6158125</c:v>
                </c:pt>
                <c:pt idx="17">
                  <c:v>6520325</c:v>
                </c:pt>
                <c:pt idx="18">
                  <c:v>6858550</c:v>
                </c:pt>
                <c:pt idx="19">
                  <c:v>7287250</c:v>
                </c:pt>
                <c:pt idx="20">
                  <c:v>7639750</c:v>
                </c:pt>
                <c:pt idx="21">
                  <c:v>8073125</c:v>
                </c:pt>
                <c:pt idx="22">
                  <c:v>8577550</c:v>
                </c:pt>
                <c:pt idx="23">
                  <c:v>9062825</c:v>
                </c:pt>
                <c:pt idx="24">
                  <c:v>9631175</c:v>
                </c:pt>
                <c:pt idx="25">
                  <c:v>10250950</c:v>
                </c:pt>
                <c:pt idx="26">
                  <c:v>10581925</c:v>
                </c:pt>
                <c:pt idx="27">
                  <c:v>10929100</c:v>
                </c:pt>
                <c:pt idx="28">
                  <c:v>11456450</c:v>
                </c:pt>
                <c:pt idx="29">
                  <c:v>12217175</c:v>
                </c:pt>
                <c:pt idx="30">
                  <c:v>13039200</c:v>
                </c:pt>
                <c:pt idx="31">
                  <c:v>13815600</c:v>
                </c:pt>
                <c:pt idx="32">
                  <c:v>14474250</c:v>
                </c:pt>
                <c:pt idx="33">
                  <c:v>14769850</c:v>
                </c:pt>
                <c:pt idx="34">
                  <c:v>14478050</c:v>
                </c:pt>
                <c:pt idx="35">
                  <c:v>15048975</c:v>
                </c:pt>
                <c:pt idx="36">
                  <c:v>15599725</c:v>
                </c:pt>
                <c:pt idx="37">
                  <c:v>16253950</c:v>
                </c:pt>
                <c:pt idx="38">
                  <c:v>16880675</c:v>
                </c:pt>
                <c:pt idx="39">
                  <c:v>17608125</c:v>
                </c:pt>
                <c:pt idx="40">
                  <c:v>18295000</c:v>
                </c:pt>
                <c:pt idx="41">
                  <c:v>18804900</c:v>
                </c:pt>
                <c:pt idx="42">
                  <c:v>19612100</c:v>
                </c:pt>
                <c:pt idx="43">
                  <c:v>20656525</c:v>
                </c:pt>
                <c:pt idx="44">
                  <c:v>21539975</c:v>
                </c:pt>
                <c:pt idx="45">
                  <c:v>21354125</c:v>
                </c:pt>
                <c:pt idx="46">
                  <c:v>23681175</c:v>
                </c:pt>
                <c:pt idx="47">
                  <c:v>26006900</c:v>
                </c:pt>
                <c:pt idx="48">
                  <c:v>27720725</c:v>
                </c:pt>
                <c:pt idx="49">
                  <c:v>29184900</c:v>
                </c:pt>
                <c:pt idx="50">
                  <c:v>30507217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69-4712-BEB7-A1F7B6E4DB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8181055"/>
        <c:axId val="388179135"/>
      </c:lineChart>
      <c:catAx>
        <c:axId val="3881810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179135"/>
        <c:crosses val="autoZero"/>
        <c:auto val="1"/>
        <c:lblAlgn val="ctr"/>
        <c:lblOffset val="100"/>
        <c:noMultiLvlLbl val="0"/>
      </c:catAx>
      <c:valAx>
        <c:axId val="38817913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b" anchorCtr="0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GDP (USD</a:t>
                </a:r>
                <a:r>
                  <a:rPr lang="en-US" baseline="0"/>
                  <a:t> Billions)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9444444444444445E-2"/>
              <c:y val="0.432152921674264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b" anchorCtr="0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#,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181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365760</xdr:colOff>
      <xdr:row>25</xdr:row>
      <xdr:rowOff>15240</xdr:rowOff>
    </xdr:from>
    <xdr:to>
      <xdr:col>8</xdr:col>
      <xdr:colOff>190500</xdr:colOff>
      <xdr:row>29</xdr:row>
      <xdr:rowOff>129540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5829DAEC-7C2F-75BC-9640-48A801E259D2}"/>
            </a:ext>
          </a:extLst>
        </xdr:cNvPr>
        <xdr:cNvSpPr/>
      </xdr:nvSpPr>
      <xdr:spPr>
        <a:xfrm>
          <a:off x="1584960" y="4587240"/>
          <a:ext cx="3726180" cy="845820"/>
        </a:xfrm>
        <a:prstGeom prst="rect">
          <a:avLst/>
        </a:prstGeom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400" b="1"/>
            <a:t>Average GDP</a:t>
          </a:r>
          <a:r>
            <a:rPr lang="en-US" sz="1400" b="1" baseline="0"/>
            <a:t> of the last 5 years:</a:t>
          </a:r>
        </a:p>
        <a:p>
          <a:pPr algn="l"/>
          <a:endParaRPr lang="en-US" sz="1100" b="1" baseline="0"/>
        </a:p>
        <a:p>
          <a:pPr algn="l"/>
          <a:r>
            <a:rPr lang="en-US" sz="1100" b="1" baseline="0"/>
            <a:t>                                                       </a:t>
          </a:r>
          <a:r>
            <a:rPr lang="en-US" sz="1400" b="1" baseline="0"/>
            <a:t>VS</a:t>
          </a:r>
          <a:endParaRPr lang="en-US" sz="1100" b="1" baseline="0"/>
        </a:p>
      </xdr:txBody>
    </xdr:sp>
    <xdr:clientData/>
  </xdr:twoCellAnchor>
  <xdr:twoCellAnchor>
    <xdr:from>
      <xdr:col>1</xdr:col>
      <xdr:colOff>15240</xdr:colOff>
      <xdr:row>7</xdr:row>
      <xdr:rowOff>15240</xdr:rowOff>
    </xdr:from>
    <xdr:to>
      <xdr:col>10</xdr:col>
      <xdr:colOff>7620</xdr:colOff>
      <xdr:row>22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8A3654A-4E27-4522-9CD8-1AFA263D6C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22860</xdr:colOff>
      <xdr:row>7</xdr:row>
      <xdr:rowOff>76200</xdr:rowOff>
    </xdr:from>
    <xdr:to>
      <xdr:col>21</xdr:col>
      <xdr:colOff>91440</xdr:colOff>
      <xdr:row>23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33BDEE-7597-4623-AD30-777620634F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480060</xdr:colOff>
      <xdr:row>27</xdr:row>
      <xdr:rowOff>7620</xdr:rowOff>
    </xdr:from>
    <xdr:to>
      <xdr:col>5</xdr:col>
      <xdr:colOff>0</xdr:colOff>
      <xdr:row>29</xdr:row>
      <xdr:rowOff>15240</xdr:rowOff>
    </xdr:to>
    <xdr:sp macro="" textlink="Average_other">
      <xdr:nvSpPr>
        <xdr:cNvPr id="4" name="TextBox 3">
          <a:extLst>
            <a:ext uri="{FF2B5EF4-FFF2-40B4-BE49-F238E27FC236}">
              <a16:creationId xmlns:a16="http://schemas.microsoft.com/office/drawing/2014/main" id="{21938BCD-A67D-1DA3-17FB-28BB963C3E69}"/>
            </a:ext>
          </a:extLst>
        </xdr:cNvPr>
        <xdr:cNvSpPr txBox="1"/>
      </xdr:nvSpPr>
      <xdr:spPr>
        <a:xfrm>
          <a:off x="1699260" y="5074920"/>
          <a:ext cx="1325880" cy="3733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5D504E6-9FDF-4C15-9455-949FE1408EF1}" type="TxLink">
            <a:rPr lang="en-US" sz="1600" b="1" i="0" u="none" strike="noStrike">
              <a:solidFill>
                <a:schemeClr val="accent1">
                  <a:lumMod val="75000"/>
                </a:schemeClr>
              </a:solidFill>
              <a:latin typeface="Calibri"/>
              <a:ea typeface="Calibri"/>
              <a:cs typeface="Calibri"/>
            </a:rPr>
            <a:pPr/>
            <a:t> $105,399 </a:t>
          </a:fld>
          <a:r>
            <a:rPr lang="en-US" sz="1600" b="1" i="0" u="none" strike="noStrike">
              <a:solidFill>
                <a:schemeClr val="accent1">
                  <a:lumMod val="75000"/>
                </a:schemeClr>
              </a:solidFill>
              <a:latin typeface="Calibri"/>
              <a:ea typeface="Calibri"/>
              <a:cs typeface="Calibri"/>
            </a:rPr>
            <a:t>B</a:t>
          </a:r>
          <a:endParaRPr lang="en-US" sz="1100" b="1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>
    <xdr:from>
      <xdr:col>6</xdr:col>
      <xdr:colOff>15240</xdr:colOff>
      <xdr:row>27</xdr:row>
      <xdr:rowOff>15240</xdr:rowOff>
    </xdr:from>
    <xdr:to>
      <xdr:col>7</xdr:col>
      <xdr:colOff>594360</xdr:colOff>
      <xdr:row>29</xdr:row>
      <xdr:rowOff>7620</xdr:rowOff>
    </xdr:to>
    <xdr:sp macro="" textlink="Average_BD">
      <xdr:nvSpPr>
        <xdr:cNvPr id="5" name="TextBox 4">
          <a:extLst>
            <a:ext uri="{FF2B5EF4-FFF2-40B4-BE49-F238E27FC236}">
              <a16:creationId xmlns:a16="http://schemas.microsoft.com/office/drawing/2014/main" id="{64DA5775-5BA1-B853-F638-905D0C3E3181}"/>
            </a:ext>
          </a:extLst>
        </xdr:cNvPr>
        <xdr:cNvSpPr txBox="1"/>
      </xdr:nvSpPr>
      <xdr:spPr>
        <a:xfrm>
          <a:off x="3916680" y="4953000"/>
          <a:ext cx="1188720" cy="3581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A7A27DF-0A6E-4566-ADE4-7FE86FD02DBA}" type="TxLink">
            <a:rPr lang="en-US" sz="1600" b="1" i="0" u="none" strike="noStrike">
              <a:solidFill>
                <a:schemeClr val="accent6">
                  <a:lumMod val="60000"/>
                  <a:lumOff val="40000"/>
                </a:schemeClr>
              </a:solidFill>
              <a:latin typeface="Calibri"/>
              <a:ea typeface="Calibri"/>
              <a:cs typeface="Calibri"/>
            </a:rPr>
            <a:pPr/>
            <a:t> $436,703 </a:t>
          </a:fld>
          <a:r>
            <a:rPr lang="en-US" sz="1600" b="1" i="0" u="none" strike="noStrike">
              <a:solidFill>
                <a:schemeClr val="accent6">
                  <a:lumMod val="60000"/>
                  <a:lumOff val="40000"/>
                </a:schemeClr>
              </a:solidFill>
              <a:latin typeface="Calibri"/>
              <a:ea typeface="Calibri"/>
              <a:cs typeface="Calibri"/>
            </a:rPr>
            <a:t>B</a:t>
          </a:r>
          <a:endParaRPr lang="en-US" sz="1100" b="1">
            <a:solidFill>
              <a:schemeClr val="accent6">
                <a:lumMod val="60000"/>
                <a:lumOff val="40000"/>
              </a:schemeClr>
            </a:solidFill>
          </a:endParaRPr>
        </a:p>
      </xdr:txBody>
    </xdr:sp>
    <xdr:clientData/>
  </xdr:twoCellAnchor>
  <xdr:twoCellAnchor>
    <xdr:from>
      <xdr:col>12</xdr:col>
      <xdr:colOff>579120</xdr:colOff>
      <xdr:row>23</xdr:row>
      <xdr:rowOff>7620</xdr:rowOff>
    </xdr:from>
    <xdr:to>
      <xdr:col>21</xdr:col>
      <xdr:colOff>137160</xdr:colOff>
      <xdr:row>24</xdr:row>
      <xdr:rowOff>83820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62A61B4-5CCA-5C45-64D2-B233D87E881A}"/>
            </a:ext>
          </a:extLst>
        </xdr:cNvPr>
        <xdr:cNvSpPr txBox="1"/>
      </xdr:nvSpPr>
      <xdr:spPr>
        <a:xfrm>
          <a:off x="8138160" y="4213860"/>
          <a:ext cx="5158740" cy="2590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Disclaimer:</a:t>
          </a:r>
          <a:r>
            <a:rPr lang="en-US" sz="1100" b="0"/>
            <a:t> USA military</a:t>
          </a:r>
          <a:r>
            <a:rPr lang="en-US" sz="1100" b="0" baseline="0"/>
            <a:t> involvment might have not been the only factor affecting GDP.</a:t>
          </a:r>
          <a:endParaRPr lang="en-US" sz="1100" b="1"/>
        </a:p>
      </xdr:txBody>
    </xdr:sp>
    <xdr:clientData/>
  </xdr:twoCellAnchor>
  <xdr:twoCellAnchor>
    <xdr:from>
      <xdr:col>14</xdr:col>
      <xdr:colOff>434340</xdr:colOff>
      <xdr:row>25</xdr:row>
      <xdr:rowOff>7620</xdr:rowOff>
    </xdr:from>
    <xdr:to>
      <xdr:col>20</xdr:col>
      <xdr:colOff>68580</xdr:colOff>
      <xdr:row>29</xdr:row>
      <xdr:rowOff>152400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64F82365-4350-C2F7-28DA-B0DE434B6FB4}"/>
            </a:ext>
          </a:extLst>
        </xdr:cNvPr>
        <xdr:cNvSpPr/>
      </xdr:nvSpPr>
      <xdr:spPr>
        <a:xfrm>
          <a:off x="9212580" y="4579620"/>
          <a:ext cx="3406140" cy="87630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400" b="1"/>
            <a:t>Country's GDP as a percentage of USA GDP:</a:t>
          </a:r>
        </a:p>
      </xdr:txBody>
    </xdr:sp>
    <xdr:clientData/>
  </xdr:twoCellAnchor>
  <xdr:twoCellAnchor>
    <xdr:from>
      <xdr:col>16</xdr:col>
      <xdr:colOff>495300</xdr:colOff>
      <xdr:row>27</xdr:row>
      <xdr:rowOff>60960</xdr:rowOff>
    </xdr:from>
    <xdr:to>
      <xdr:col>18</xdr:col>
      <xdr:colOff>53340</xdr:colOff>
      <xdr:row>28</xdr:row>
      <xdr:rowOff>144780</xdr:rowOff>
    </xdr:to>
    <xdr:sp macro="" textlink="percent">
      <xdr:nvSpPr>
        <xdr:cNvPr id="8" name="TextBox 7">
          <a:extLst>
            <a:ext uri="{FF2B5EF4-FFF2-40B4-BE49-F238E27FC236}">
              <a16:creationId xmlns:a16="http://schemas.microsoft.com/office/drawing/2014/main" id="{31DACF97-DE1B-1072-C7B6-47212B60A0CD}"/>
            </a:ext>
          </a:extLst>
        </xdr:cNvPr>
        <xdr:cNvSpPr txBox="1"/>
      </xdr:nvSpPr>
      <xdr:spPr>
        <a:xfrm>
          <a:off x="10492740" y="4998720"/>
          <a:ext cx="891540" cy="266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11C722FB-7349-4115-B3B9-644657F7AD3E}" type="TxLink">
            <a:rPr lang="en-US" sz="16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0.055%</a:t>
          </a:fld>
          <a:endParaRPr lang="en-US" sz="16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houghtco.com/yugoslavia-becomes-serbia-and-montenegro-4088788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51109-8E66-4371-B2C0-A3946BEC8878}">
  <dimension ref="A1:AZ206"/>
  <sheetViews>
    <sheetView topLeftCell="AQ55" zoomScale="115" zoomScaleNormal="115" workbookViewId="0">
      <selection activeCell="A75" sqref="A75:XFD75"/>
    </sheetView>
  </sheetViews>
  <sheetFormatPr defaultRowHeight="14.4" x14ac:dyDescent="0.3"/>
  <cols>
    <col min="2" max="26" width="16.33203125" bestFit="1" customWidth="1"/>
    <col min="27" max="52" width="17.44140625" bestFit="1" customWidth="1"/>
  </cols>
  <sheetData>
    <row r="1" spans="1:52" x14ac:dyDescent="0.3">
      <c r="A1" t="s">
        <v>0</v>
      </c>
      <c r="B1">
        <v>1975</v>
      </c>
      <c r="C1">
        <v>1976</v>
      </c>
      <c r="D1">
        <v>1977</v>
      </c>
      <c r="E1">
        <v>1978</v>
      </c>
      <c r="F1">
        <v>1979</v>
      </c>
      <c r="G1">
        <v>1980</v>
      </c>
      <c r="H1">
        <v>1981</v>
      </c>
      <c r="I1">
        <v>1982</v>
      </c>
      <c r="J1">
        <v>1983</v>
      </c>
      <c r="K1">
        <v>1984</v>
      </c>
      <c r="L1">
        <v>1985</v>
      </c>
      <c r="M1">
        <v>1986</v>
      </c>
      <c r="N1">
        <v>1987</v>
      </c>
      <c r="O1">
        <v>1988</v>
      </c>
      <c r="P1">
        <v>1989</v>
      </c>
      <c r="Q1">
        <v>1990</v>
      </c>
      <c r="R1">
        <v>1991</v>
      </c>
      <c r="S1">
        <v>1992</v>
      </c>
      <c r="T1">
        <v>1993</v>
      </c>
      <c r="U1">
        <v>1994</v>
      </c>
      <c r="V1">
        <v>1995</v>
      </c>
      <c r="W1">
        <v>1996</v>
      </c>
      <c r="X1">
        <v>1997</v>
      </c>
      <c r="Y1">
        <v>1998</v>
      </c>
      <c r="Z1">
        <v>1999</v>
      </c>
      <c r="AA1">
        <v>2000</v>
      </c>
      <c r="AB1">
        <v>2001</v>
      </c>
      <c r="AC1">
        <v>2002</v>
      </c>
      <c r="AD1">
        <v>2003</v>
      </c>
      <c r="AE1">
        <v>2004</v>
      </c>
      <c r="AF1">
        <v>2005</v>
      </c>
      <c r="AG1">
        <v>2006</v>
      </c>
      <c r="AH1">
        <v>2007</v>
      </c>
      <c r="AI1">
        <v>2008</v>
      </c>
      <c r="AJ1">
        <v>2009</v>
      </c>
      <c r="AK1">
        <v>2010</v>
      </c>
      <c r="AL1">
        <v>2011</v>
      </c>
      <c r="AM1">
        <v>2012</v>
      </c>
      <c r="AN1">
        <v>2013</v>
      </c>
      <c r="AO1">
        <v>2014</v>
      </c>
      <c r="AP1">
        <v>2015</v>
      </c>
      <c r="AQ1">
        <v>2016</v>
      </c>
      <c r="AR1">
        <v>2017</v>
      </c>
      <c r="AS1">
        <v>2018</v>
      </c>
      <c r="AT1">
        <v>2019</v>
      </c>
      <c r="AU1">
        <v>2020</v>
      </c>
      <c r="AV1">
        <v>2021</v>
      </c>
      <c r="AW1">
        <v>2022</v>
      </c>
      <c r="AX1">
        <v>2023</v>
      </c>
      <c r="AY1">
        <v>2024</v>
      </c>
      <c r="AZ1">
        <v>2025</v>
      </c>
    </row>
    <row r="2" spans="1:52" x14ac:dyDescent="0.3">
      <c r="A2" t="s">
        <v>1</v>
      </c>
      <c r="B2" s="1">
        <v>2367</v>
      </c>
      <c r="C2" s="2">
        <v>2556</v>
      </c>
      <c r="D2" s="1">
        <v>2953</v>
      </c>
      <c r="E2" s="1">
        <v>3300</v>
      </c>
      <c r="F2" s="1">
        <v>3698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>
        <v>4367</v>
      </c>
      <c r="AD2" s="1">
        <v>4553</v>
      </c>
      <c r="AE2" s="1">
        <v>5146</v>
      </c>
      <c r="AF2" s="1">
        <v>6167</v>
      </c>
      <c r="AG2" s="1">
        <v>6925</v>
      </c>
      <c r="AH2" s="1">
        <v>8556</v>
      </c>
      <c r="AI2" s="1">
        <v>10297</v>
      </c>
      <c r="AJ2" s="1">
        <v>12066</v>
      </c>
      <c r="AK2" s="1">
        <v>15325</v>
      </c>
      <c r="AL2" s="1">
        <v>17890</v>
      </c>
      <c r="AM2" s="1">
        <v>20293</v>
      </c>
      <c r="AN2" s="1">
        <v>20170</v>
      </c>
      <c r="AO2" s="1">
        <v>20616</v>
      </c>
      <c r="AP2" s="1">
        <v>20057</v>
      </c>
      <c r="AQ2" s="1">
        <v>18020</v>
      </c>
      <c r="AR2" s="1">
        <v>18883</v>
      </c>
      <c r="AS2" s="1">
        <v>18336</v>
      </c>
      <c r="AT2" s="1">
        <v>18876</v>
      </c>
      <c r="AU2" s="1">
        <v>20136</v>
      </c>
      <c r="AV2" s="1">
        <v>14278</v>
      </c>
      <c r="AW2" s="1">
        <v>14501</v>
      </c>
      <c r="AX2" s="1">
        <v>17248</v>
      </c>
      <c r="AY2" s="1"/>
      <c r="AZ2" s="1"/>
    </row>
    <row r="3" spans="1:52" x14ac:dyDescent="0.3">
      <c r="A3" t="s">
        <v>2</v>
      </c>
      <c r="B3" s="1">
        <v>2610</v>
      </c>
      <c r="C3" s="1">
        <v>2686</v>
      </c>
      <c r="D3" s="1">
        <v>2761</v>
      </c>
      <c r="E3" s="1">
        <v>2842</v>
      </c>
      <c r="F3" s="1">
        <v>2372</v>
      </c>
      <c r="G3" s="1">
        <v>1969</v>
      </c>
      <c r="H3" s="1">
        <v>2256</v>
      </c>
      <c r="I3" s="1">
        <v>2323</v>
      </c>
      <c r="J3" s="1">
        <v>2347</v>
      </c>
      <c r="K3" s="1">
        <v>2317</v>
      </c>
      <c r="L3" s="1">
        <v>2366</v>
      </c>
      <c r="M3" s="1">
        <v>2617</v>
      </c>
      <c r="N3" s="1">
        <v>2597</v>
      </c>
      <c r="O3" s="1">
        <v>2560</v>
      </c>
      <c r="P3" s="1">
        <v>2812</v>
      </c>
      <c r="Q3" s="1">
        <v>2247</v>
      </c>
      <c r="R3" s="1">
        <v>1349</v>
      </c>
      <c r="S3" s="1">
        <v>853</v>
      </c>
      <c r="T3" s="1">
        <v>1478</v>
      </c>
      <c r="U3" s="1">
        <v>2389</v>
      </c>
      <c r="V3" s="1">
        <v>2916</v>
      </c>
      <c r="W3" s="1">
        <v>3238</v>
      </c>
      <c r="X3" s="1">
        <v>2251</v>
      </c>
      <c r="Y3" s="1">
        <v>2585</v>
      </c>
      <c r="Z3" s="1">
        <v>3264</v>
      </c>
      <c r="AA3" s="1">
        <v>3529</v>
      </c>
      <c r="AB3" s="1">
        <v>3974</v>
      </c>
      <c r="AC3" s="1">
        <v>4408</v>
      </c>
      <c r="AD3" s="1">
        <v>5628</v>
      </c>
      <c r="AE3" s="1">
        <v>7263</v>
      </c>
      <c r="AF3" s="1">
        <v>8148</v>
      </c>
      <c r="AG3" s="1">
        <v>9002</v>
      </c>
      <c r="AH3" s="1">
        <v>10804</v>
      </c>
      <c r="AI3" s="1">
        <v>13035</v>
      </c>
      <c r="AJ3" s="1">
        <v>12187</v>
      </c>
      <c r="AK3" s="1">
        <v>12079</v>
      </c>
      <c r="AL3" s="1">
        <v>13052</v>
      </c>
      <c r="AM3" s="1">
        <v>12470</v>
      </c>
      <c r="AN3" s="1">
        <v>12936</v>
      </c>
      <c r="AO3" s="1">
        <v>13404</v>
      </c>
      <c r="AP3" s="1">
        <v>11525</v>
      </c>
      <c r="AQ3" s="1">
        <v>12003</v>
      </c>
      <c r="AR3" s="1">
        <v>13209</v>
      </c>
      <c r="AS3" s="1">
        <v>15337</v>
      </c>
      <c r="AT3" s="1">
        <v>15582</v>
      </c>
      <c r="AU3" s="1">
        <v>15271</v>
      </c>
      <c r="AV3" s="1">
        <v>18086</v>
      </c>
      <c r="AW3" s="1">
        <v>19185</v>
      </c>
      <c r="AX3" s="1">
        <v>23388</v>
      </c>
      <c r="AY3" s="1">
        <v>27259</v>
      </c>
      <c r="AZ3" s="1">
        <v>28372</v>
      </c>
    </row>
    <row r="4" spans="1:52" x14ac:dyDescent="0.3">
      <c r="A4" t="s">
        <v>3</v>
      </c>
      <c r="B4" s="1">
        <v>15591</v>
      </c>
      <c r="C4" s="1">
        <v>17790</v>
      </c>
      <c r="D4" s="1">
        <v>21038</v>
      </c>
      <c r="E4" s="1">
        <v>26433</v>
      </c>
      <c r="F4" s="1">
        <v>33276</v>
      </c>
      <c r="G4" s="1">
        <v>45957</v>
      </c>
      <c r="H4" s="1">
        <v>48156</v>
      </c>
      <c r="I4" s="1">
        <v>48599</v>
      </c>
      <c r="J4" s="1">
        <v>51582</v>
      </c>
      <c r="K4" s="1">
        <v>55906</v>
      </c>
      <c r="L4" s="1">
        <v>66346</v>
      </c>
      <c r="M4" s="1">
        <v>66783</v>
      </c>
      <c r="N4" s="1">
        <v>68698</v>
      </c>
      <c r="O4" s="1">
        <v>56070</v>
      </c>
      <c r="P4" s="1">
        <v>57041</v>
      </c>
      <c r="Q4" s="1">
        <v>67171</v>
      </c>
      <c r="R4" s="1">
        <v>50650</v>
      </c>
      <c r="S4" s="1">
        <v>53414</v>
      </c>
      <c r="T4" s="1">
        <v>55309</v>
      </c>
      <c r="U4" s="1">
        <v>46044</v>
      </c>
      <c r="V4" s="1">
        <v>45654</v>
      </c>
      <c r="W4" s="1">
        <v>50945</v>
      </c>
      <c r="X4" s="1">
        <v>52287</v>
      </c>
      <c r="Y4" s="1">
        <v>52297</v>
      </c>
      <c r="Z4" s="1">
        <v>53011</v>
      </c>
      <c r="AA4" s="1">
        <v>59418</v>
      </c>
      <c r="AB4" s="1">
        <v>59413</v>
      </c>
      <c r="AC4" s="1">
        <v>61516</v>
      </c>
      <c r="AD4" s="1">
        <v>73482</v>
      </c>
      <c r="AE4" s="1">
        <v>91914</v>
      </c>
      <c r="AF4" s="1">
        <v>107047</v>
      </c>
      <c r="AG4" s="1">
        <v>123084</v>
      </c>
      <c r="AH4" s="1">
        <v>142483</v>
      </c>
      <c r="AI4" s="1">
        <v>180384</v>
      </c>
      <c r="AJ4" s="1">
        <v>150317</v>
      </c>
      <c r="AK4" s="1">
        <v>177785</v>
      </c>
      <c r="AL4" s="1">
        <v>218332</v>
      </c>
      <c r="AM4" s="1">
        <v>227144</v>
      </c>
      <c r="AN4" s="1">
        <v>229701</v>
      </c>
      <c r="AO4" s="1">
        <v>238943</v>
      </c>
      <c r="AP4" s="1">
        <v>187494</v>
      </c>
      <c r="AQ4" s="1">
        <v>180764</v>
      </c>
      <c r="AR4" s="1">
        <v>190004</v>
      </c>
      <c r="AS4" s="1">
        <v>194507</v>
      </c>
      <c r="AT4" s="1">
        <v>193361</v>
      </c>
      <c r="AU4" s="1">
        <v>164774</v>
      </c>
      <c r="AV4" s="1">
        <v>185850</v>
      </c>
      <c r="AW4" s="1">
        <v>225709</v>
      </c>
      <c r="AX4" s="1">
        <v>247789</v>
      </c>
      <c r="AY4" s="1">
        <v>264913</v>
      </c>
      <c r="AZ4" s="1">
        <v>268885</v>
      </c>
    </row>
    <row r="5" spans="1:52" x14ac:dyDescent="0.3">
      <c r="A5" t="s">
        <v>4</v>
      </c>
      <c r="B5" s="1">
        <v>279</v>
      </c>
      <c r="C5" s="1">
        <v>288</v>
      </c>
      <c r="D5" s="1">
        <v>321</v>
      </c>
      <c r="E5" s="1">
        <v>390</v>
      </c>
      <c r="F5" s="1">
        <v>521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>
        <v>1429</v>
      </c>
      <c r="AB5" s="1">
        <v>1547</v>
      </c>
      <c r="AC5" s="1">
        <v>1758</v>
      </c>
      <c r="AD5" s="1">
        <v>2362</v>
      </c>
      <c r="AE5" s="1">
        <v>2896</v>
      </c>
      <c r="AF5" s="1">
        <v>3158</v>
      </c>
      <c r="AG5" s="1">
        <v>3456</v>
      </c>
      <c r="AH5" s="1">
        <v>3952</v>
      </c>
      <c r="AI5" s="1">
        <v>4082</v>
      </c>
      <c r="AJ5" s="1">
        <v>3675</v>
      </c>
      <c r="AK5" s="1">
        <v>3446</v>
      </c>
      <c r="AL5" s="1">
        <v>3625</v>
      </c>
      <c r="AM5" s="1">
        <v>3189</v>
      </c>
      <c r="AN5" s="1">
        <v>3193</v>
      </c>
      <c r="AO5" s="1">
        <v>3267</v>
      </c>
      <c r="AP5" s="1">
        <v>2789</v>
      </c>
      <c r="AQ5" s="1">
        <v>2895</v>
      </c>
      <c r="AR5" s="1">
        <v>2993</v>
      </c>
      <c r="AS5" s="1">
        <v>3217</v>
      </c>
      <c r="AT5" s="1">
        <v>3155</v>
      </c>
      <c r="AU5" s="1">
        <v>2885</v>
      </c>
      <c r="AV5" s="1">
        <v>3325</v>
      </c>
      <c r="AW5" s="1">
        <v>3376</v>
      </c>
      <c r="AX5" s="1">
        <v>3786</v>
      </c>
      <c r="AY5" s="1">
        <v>4038</v>
      </c>
      <c r="AZ5" s="1">
        <v>4035</v>
      </c>
    </row>
    <row r="6" spans="1:52" x14ac:dyDescent="0.3">
      <c r="A6" t="s">
        <v>5</v>
      </c>
      <c r="B6" s="1">
        <v>4147</v>
      </c>
      <c r="C6" s="1">
        <v>3981</v>
      </c>
      <c r="D6" s="1">
        <v>4344</v>
      </c>
      <c r="E6" s="1">
        <v>4845</v>
      </c>
      <c r="F6" s="1">
        <v>5380</v>
      </c>
      <c r="G6" s="1">
        <v>8730</v>
      </c>
      <c r="H6" s="1">
        <v>8170</v>
      </c>
      <c r="I6" s="1">
        <v>8170</v>
      </c>
      <c r="J6" s="1">
        <v>8514</v>
      </c>
      <c r="K6" s="1">
        <v>9025</v>
      </c>
      <c r="L6" s="1">
        <v>11119</v>
      </c>
      <c r="M6" s="1">
        <v>10411</v>
      </c>
      <c r="N6" s="1">
        <v>11900</v>
      </c>
      <c r="O6" s="1">
        <v>12909</v>
      </c>
      <c r="P6" s="1">
        <v>15017</v>
      </c>
      <c r="Q6" s="1">
        <v>16529</v>
      </c>
      <c r="R6" s="1">
        <v>16022</v>
      </c>
      <c r="S6" s="1">
        <v>12354</v>
      </c>
      <c r="T6" s="1">
        <v>8966</v>
      </c>
      <c r="U6" s="1">
        <v>6529</v>
      </c>
      <c r="V6" s="1">
        <v>8148</v>
      </c>
      <c r="W6" s="1">
        <v>10510</v>
      </c>
      <c r="X6" s="1">
        <v>12344</v>
      </c>
      <c r="Y6" s="1">
        <v>10464</v>
      </c>
      <c r="Z6" s="1">
        <v>9895</v>
      </c>
      <c r="AA6" s="1">
        <v>12646</v>
      </c>
      <c r="AB6" s="1">
        <v>12378</v>
      </c>
      <c r="AC6" s="1">
        <v>17312</v>
      </c>
      <c r="AD6" s="1">
        <v>20342</v>
      </c>
      <c r="AE6" s="1">
        <v>26998</v>
      </c>
      <c r="AF6" s="1">
        <v>41397</v>
      </c>
      <c r="AG6" s="1">
        <v>58654</v>
      </c>
      <c r="AH6" s="1">
        <v>73038</v>
      </c>
      <c r="AI6" s="1">
        <v>98790</v>
      </c>
      <c r="AJ6" s="1">
        <v>81705</v>
      </c>
      <c r="AK6" s="1">
        <v>95547</v>
      </c>
      <c r="AL6" s="1">
        <v>125552</v>
      </c>
      <c r="AM6" s="1">
        <v>143573</v>
      </c>
      <c r="AN6" s="1">
        <v>153761</v>
      </c>
      <c r="AO6" s="1">
        <v>164448</v>
      </c>
      <c r="AP6" s="1">
        <v>131661</v>
      </c>
      <c r="AQ6" s="1">
        <v>114764</v>
      </c>
      <c r="AR6" s="1">
        <v>139835</v>
      </c>
      <c r="AS6" s="1">
        <v>114189</v>
      </c>
      <c r="AT6" s="1">
        <v>94671</v>
      </c>
      <c r="AU6" s="1">
        <v>66521</v>
      </c>
      <c r="AV6" s="1">
        <v>84375</v>
      </c>
      <c r="AW6" s="1">
        <v>142442</v>
      </c>
      <c r="AX6" s="1">
        <v>109764</v>
      </c>
      <c r="AY6" s="1">
        <v>115946</v>
      </c>
      <c r="AZ6" s="1">
        <v>113343</v>
      </c>
    </row>
    <row r="7" spans="1:52" x14ac:dyDescent="0.3">
      <c r="A7" t="s">
        <v>6</v>
      </c>
      <c r="B7" s="1">
        <v>85</v>
      </c>
      <c r="C7" s="1">
        <v>71</v>
      </c>
      <c r="D7" s="1">
        <v>81</v>
      </c>
      <c r="E7" s="1">
        <v>92</v>
      </c>
      <c r="F7" s="1">
        <v>113</v>
      </c>
      <c r="G7" s="1">
        <v>132</v>
      </c>
      <c r="H7" s="1">
        <v>149</v>
      </c>
      <c r="I7" s="1">
        <v>166</v>
      </c>
      <c r="J7" s="1">
        <v>185</v>
      </c>
      <c r="K7" s="1">
        <v>212</v>
      </c>
      <c r="L7" s="1">
        <v>246</v>
      </c>
      <c r="M7" s="1">
        <v>298</v>
      </c>
      <c r="N7" s="1">
        <v>347</v>
      </c>
      <c r="O7" s="1">
        <v>411</v>
      </c>
      <c r="P7" s="1">
        <v>455</v>
      </c>
      <c r="Q7" s="1">
        <v>479</v>
      </c>
      <c r="R7" s="1">
        <v>504</v>
      </c>
      <c r="S7" s="1">
        <v>525</v>
      </c>
      <c r="T7" s="1">
        <v>566</v>
      </c>
      <c r="U7" s="1">
        <v>625</v>
      </c>
      <c r="V7" s="1">
        <v>616</v>
      </c>
      <c r="W7" s="1">
        <v>679</v>
      </c>
      <c r="X7" s="1">
        <v>734</v>
      </c>
      <c r="Y7" s="1">
        <v>790</v>
      </c>
      <c r="Z7" s="1">
        <v>836</v>
      </c>
      <c r="AA7" s="1">
        <v>901</v>
      </c>
      <c r="AB7" s="1">
        <v>878</v>
      </c>
      <c r="AC7" s="1">
        <v>898</v>
      </c>
      <c r="AD7" s="1">
        <v>948</v>
      </c>
      <c r="AE7" s="1">
        <v>1026</v>
      </c>
      <c r="AF7" s="1">
        <v>1144</v>
      </c>
      <c r="AG7" s="1">
        <v>1304</v>
      </c>
      <c r="AH7" s="1">
        <v>1487</v>
      </c>
      <c r="AI7" s="1">
        <v>1558</v>
      </c>
      <c r="AJ7" s="1">
        <v>1387</v>
      </c>
      <c r="AK7" s="1">
        <v>1298</v>
      </c>
      <c r="AL7" s="1">
        <v>1287</v>
      </c>
      <c r="AM7" s="1">
        <v>1365</v>
      </c>
      <c r="AN7" s="1">
        <v>1325</v>
      </c>
      <c r="AO7" s="1">
        <v>1379</v>
      </c>
      <c r="AP7" s="1">
        <v>1437</v>
      </c>
      <c r="AQ7" s="1">
        <v>1490</v>
      </c>
      <c r="AR7" s="1">
        <v>1535</v>
      </c>
      <c r="AS7" s="1">
        <v>1662</v>
      </c>
      <c r="AT7" s="1">
        <v>1726</v>
      </c>
      <c r="AU7" s="1">
        <v>1412</v>
      </c>
      <c r="AV7" s="1">
        <v>1602</v>
      </c>
      <c r="AW7" s="1">
        <v>1867</v>
      </c>
      <c r="AX7" s="1">
        <v>2006</v>
      </c>
      <c r="AY7" s="1">
        <v>2225</v>
      </c>
      <c r="AZ7" s="1">
        <v>2373</v>
      </c>
    </row>
    <row r="8" spans="1:52" x14ac:dyDescent="0.3">
      <c r="A8" t="s">
        <v>7</v>
      </c>
      <c r="B8" s="1">
        <v>51741</v>
      </c>
      <c r="C8" s="1">
        <v>54575</v>
      </c>
      <c r="D8" s="1">
        <v>61662</v>
      </c>
      <c r="E8" s="1">
        <v>63865</v>
      </c>
      <c r="F8" s="1">
        <v>73987</v>
      </c>
      <c r="G8" s="1">
        <v>233696</v>
      </c>
      <c r="H8" s="1">
        <v>189802</v>
      </c>
      <c r="I8" s="1">
        <v>94250</v>
      </c>
      <c r="J8" s="1">
        <v>116267</v>
      </c>
      <c r="K8" s="1">
        <v>130544</v>
      </c>
      <c r="L8" s="1">
        <v>98599</v>
      </c>
      <c r="M8" s="1">
        <v>118565</v>
      </c>
      <c r="N8" s="1">
        <v>121561</v>
      </c>
      <c r="O8" s="1">
        <v>142386</v>
      </c>
      <c r="P8" s="1">
        <v>91352</v>
      </c>
      <c r="Q8" s="1">
        <v>158024</v>
      </c>
      <c r="R8" s="1">
        <v>211979</v>
      </c>
      <c r="S8" s="1">
        <v>255787</v>
      </c>
      <c r="T8" s="1">
        <v>264429</v>
      </c>
      <c r="U8" s="1">
        <v>287835</v>
      </c>
      <c r="V8" s="1">
        <v>288497</v>
      </c>
      <c r="W8" s="1">
        <v>304282</v>
      </c>
      <c r="X8" s="1">
        <v>327436</v>
      </c>
      <c r="Y8" s="1">
        <v>334244</v>
      </c>
      <c r="Z8" s="1">
        <v>316998</v>
      </c>
      <c r="AA8" s="1">
        <v>317759</v>
      </c>
      <c r="AB8" s="1">
        <v>300421</v>
      </c>
      <c r="AC8" s="1">
        <v>112458</v>
      </c>
      <c r="AD8" s="1">
        <v>142431</v>
      </c>
      <c r="AE8" s="1">
        <v>164911</v>
      </c>
      <c r="AF8" s="1">
        <v>199273</v>
      </c>
      <c r="AG8" s="1">
        <v>232892</v>
      </c>
      <c r="AH8" s="1">
        <v>287921</v>
      </c>
      <c r="AI8" s="1">
        <v>363545</v>
      </c>
      <c r="AJ8" s="1">
        <v>334633</v>
      </c>
      <c r="AK8" s="1">
        <v>424729</v>
      </c>
      <c r="AL8" s="1">
        <v>527644</v>
      </c>
      <c r="AM8" s="1">
        <v>579666</v>
      </c>
      <c r="AN8" s="1">
        <v>611471</v>
      </c>
      <c r="AO8" s="1">
        <v>563614</v>
      </c>
      <c r="AP8" s="1">
        <v>642464</v>
      </c>
      <c r="AQ8" s="1">
        <v>556774</v>
      </c>
      <c r="AR8" s="1">
        <v>643861</v>
      </c>
      <c r="AS8" s="1">
        <v>524431</v>
      </c>
      <c r="AT8" s="1">
        <v>446762</v>
      </c>
      <c r="AU8" s="1">
        <v>385218</v>
      </c>
      <c r="AV8" s="1">
        <v>486040</v>
      </c>
      <c r="AW8" s="1">
        <v>632318</v>
      </c>
      <c r="AX8" s="1">
        <v>645511</v>
      </c>
      <c r="AY8" s="1">
        <v>632145</v>
      </c>
      <c r="AZ8" s="1">
        <v>683533</v>
      </c>
    </row>
    <row r="9" spans="1:52" x14ac:dyDescent="0.3">
      <c r="A9" t="s">
        <v>8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>
        <v>108</v>
      </c>
      <c r="T9" s="1">
        <v>835</v>
      </c>
      <c r="U9" s="1">
        <v>648</v>
      </c>
      <c r="V9" s="1">
        <v>1287</v>
      </c>
      <c r="W9" s="1">
        <v>1597</v>
      </c>
      <c r="X9" s="1">
        <v>1639</v>
      </c>
      <c r="Y9" s="1">
        <v>1892</v>
      </c>
      <c r="Z9" s="1">
        <v>1845</v>
      </c>
      <c r="AA9" s="1">
        <v>1912</v>
      </c>
      <c r="AB9" s="1">
        <v>2118</v>
      </c>
      <c r="AC9" s="1">
        <v>2376</v>
      </c>
      <c r="AD9" s="1">
        <v>2807</v>
      </c>
      <c r="AE9" s="1">
        <v>3577</v>
      </c>
      <c r="AF9" s="1">
        <v>4900</v>
      </c>
      <c r="AG9" s="1">
        <v>6384</v>
      </c>
      <c r="AH9" s="1">
        <v>9206</v>
      </c>
      <c r="AI9" s="1">
        <v>11662</v>
      </c>
      <c r="AJ9" s="1">
        <v>8648</v>
      </c>
      <c r="AK9" s="1">
        <v>9260</v>
      </c>
      <c r="AL9" s="1">
        <v>10142</v>
      </c>
      <c r="AM9" s="1">
        <v>10619</v>
      </c>
      <c r="AN9" s="1">
        <v>11121</v>
      </c>
      <c r="AO9" s="1">
        <v>11610</v>
      </c>
      <c r="AP9" s="1">
        <v>10553</v>
      </c>
      <c r="AQ9" s="1">
        <v>10546</v>
      </c>
      <c r="AR9" s="1">
        <v>11527</v>
      </c>
      <c r="AS9" s="1">
        <v>12458</v>
      </c>
      <c r="AT9" s="1">
        <v>13619</v>
      </c>
      <c r="AU9" s="1">
        <v>12642</v>
      </c>
      <c r="AV9" s="1">
        <v>13879</v>
      </c>
      <c r="AW9" s="1">
        <v>19514</v>
      </c>
      <c r="AX9" s="1">
        <v>24086</v>
      </c>
      <c r="AY9" s="1">
        <v>25533</v>
      </c>
      <c r="AZ9" s="1">
        <v>26258</v>
      </c>
    </row>
    <row r="10" spans="1:52" x14ac:dyDescent="0.3">
      <c r="A10" t="s">
        <v>9</v>
      </c>
      <c r="B10" s="1">
        <v>229</v>
      </c>
      <c r="C10" s="1">
        <v>241</v>
      </c>
      <c r="D10" s="1">
        <v>254</v>
      </c>
      <c r="E10" s="1">
        <v>268</v>
      </c>
      <c r="F10" s="1">
        <v>282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>
        <v>1321</v>
      </c>
      <c r="W10" s="1">
        <v>1380</v>
      </c>
      <c r="X10" s="1">
        <v>1532</v>
      </c>
      <c r="Y10" s="1">
        <v>1665</v>
      </c>
      <c r="Z10" s="1">
        <v>1723</v>
      </c>
      <c r="AA10" s="1">
        <v>1873</v>
      </c>
      <c r="AB10" s="1">
        <v>1896</v>
      </c>
      <c r="AC10" s="1">
        <v>1962</v>
      </c>
      <c r="AD10" s="1">
        <v>2044</v>
      </c>
      <c r="AE10" s="1">
        <v>2255</v>
      </c>
      <c r="AF10" s="1">
        <v>2360</v>
      </c>
      <c r="AG10" s="1">
        <v>2470</v>
      </c>
      <c r="AH10" s="1">
        <v>2678</v>
      </c>
      <c r="AI10" s="1">
        <v>2843</v>
      </c>
      <c r="AJ10" s="1">
        <v>2554</v>
      </c>
      <c r="AK10" s="1">
        <v>2454</v>
      </c>
      <c r="AL10" s="1">
        <v>2638</v>
      </c>
      <c r="AM10" s="1">
        <v>2615</v>
      </c>
      <c r="AN10" s="1">
        <v>2728</v>
      </c>
      <c r="AO10" s="1">
        <v>2791</v>
      </c>
      <c r="AP10" s="1">
        <v>2963</v>
      </c>
      <c r="AQ10" s="1">
        <v>2984</v>
      </c>
      <c r="AR10" s="1">
        <v>3092</v>
      </c>
      <c r="AS10" s="1">
        <v>3276</v>
      </c>
      <c r="AT10" s="1">
        <v>3341</v>
      </c>
      <c r="AU10" s="1">
        <v>2486</v>
      </c>
      <c r="AV10" s="1">
        <v>2929</v>
      </c>
      <c r="AW10" s="1">
        <v>3279</v>
      </c>
      <c r="AX10" s="1">
        <v>3649</v>
      </c>
      <c r="AY10" s="1">
        <v>3952</v>
      </c>
      <c r="AZ10" s="1">
        <v>4100</v>
      </c>
    </row>
    <row r="11" spans="1:52" x14ac:dyDescent="0.3">
      <c r="A11" t="s">
        <v>10</v>
      </c>
      <c r="B11" s="1">
        <v>108853</v>
      </c>
      <c r="C11" s="1">
        <v>117298</v>
      </c>
      <c r="D11" s="1">
        <v>116222</v>
      </c>
      <c r="E11" s="1">
        <v>135608</v>
      </c>
      <c r="F11" s="1">
        <v>150133</v>
      </c>
      <c r="G11" s="1">
        <v>162924</v>
      </c>
      <c r="H11" s="1">
        <v>188410</v>
      </c>
      <c r="I11" s="1">
        <v>187049</v>
      </c>
      <c r="J11" s="1">
        <v>179478</v>
      </c>
      <c r="K11" s="1">
        <v>197136</v>
      </c>
      <c r="L11" s="1">
        <v>174385</v>
      </c>
      <c r="M11" s="1">
        <v>181477</v>
      </c>
      <c r="N11" s="1">
        <v>213100</v>
      </c>
      <c r="O11" s="1">
        <v>271088</v>
      </c>
      <c r="P11" s="1">
        <v>308402</v>
      </c>
      <c r="Q11" s="1">
        <v>324128</v>
      </c>
      <c r="R11" s="1">
        <v>324436</v>
      </c>
      <c r="S11" s="1">
        <v>318005</v>
      </c>
      <c r="T11" s="1">
        <v>309303</v>
      </c>
      <c r="U11" s="1">
        <v>353372</v>
      </c>
      <c r="V11" s="1">
        <v>379227</v>
      </c>
      <c r="W11" s="1">
        <v>424663</v>
      </c>
      <c r="X11" s="1">
        <v>426401</v>
      </c>
      <c r="Y11" s="1">
        <v>381498</v>
      </c>
      <c r="Z11" s="1">
        <v>411968</v>
      </c>
      <c r="AA11" s="1">
        <v>400278</v>
      </c>
      <c r="AB11" s="1">
        <v>378114</v>
      </c>
      <c r="AC11" s="1">
        <v>425516</v>
      </c>
      <c r="AD11" s="1">
        <v>541155</v>
      </c>
      <c r="AE11" s="1">
        <v>658742</v>
      </c>
      <c r="AF11" s="1">
        <v>736505</v>
      </c>
      <c r="AG11" s="1">
        <v>783447</v>
      </c>
      <c r="AH11" s="1">
        <v>950093</v>
      </c>
      <c r="AI11" s="1">
        <v>1056559</v>
      </c>
      <c r="AJ11" s="1">
        <v>1000828</v>
      </c>
      <c r="AK11" s="1">
        <v>1254623</v>
      </c>
      <c r="AL11" s="1">
        <v>1515507</v>
      </c>
      <c r="AM11" s="1">
        <v>1570139</v>
      </c>
      <c r="AN11" s="1">
        <v>1519900</v>
      </c>
      <c r="AO11" s="1">
        <v>1456939</v>
      </c>
      <c r="AP11" s="1">
        <v>1233921</v>
      </c>
      <c r="AQ11" s="1">
        <v>1262655</v>
      </c>
      <c r="AR11" s="1">
        <v>1381110</v>
      </c>
      <c r="AS11" s="1">
        <v>1417162</v>
      </c>
      <c r="AT11" s="1">
        <v>1386277</v>
      </c>
      <c r="AU11" s="1">
        <v>1362613</v>
      </c>
      <c r="AV11" s="1">
        <v>1655843</v>
      </c>
      <c r="AW11" s="1">
        <v>1725461</v>
      </c>
      <c r="AX11" s="1">
        <v>1742461</v>
      </c>
      <c r="AY11" s="1">
        <v>1796805</v>
      </c>
      <c r="AZ11" s="1">
        <v>1771681</v>
      </c>
    </row>
    <row r="12" spans="1:52" x14ac:dyDescent="0.3">
      <c r="A12" t="s">
        <v>11</v>
      </c>
      <c r="B12" s="1">
        <v>39962</v>
      </c>
      <c r="C12" s="1">
        <v>42856</v>
      </c>
      <c r="D12" s="1">
        <v>51423</v>
      </c>
      <c r="E12" s="1">
        <v>61901</v>
      </c>
      <c r="F12" s="1">
        <v>73763</v>
      </c>
      <c r="G12" s="1">
        <v>80481</v>
      </c>
      <c r="H12" s="1">
        <v>69738</v>
      </c>
      <c r="I12" s="1">
        <v>69727</v>
      </c>
      <c r="J12" s="1">
        <v>70644</v>
      </c>
      <c r="K12" s="1">
        <v>66640</v>
      </c>
      <c r="L12" s="1">
        <v>68248</v>
      </c>
      <c r="M12" s="1">
        <v>96842</v>
      </c>
      <c r="N12" s="1">
        <v>121104</v>
      </c>
      <c r="O12" s="1">
        <v>132860</v>
      </c>
      <c r="P12" s="1">
        <v>132534</v>
      </c>
      <c r="Q12" s="1">
        <v>165953</v>
      </c>
      <c r="R12" s="1">
        <v>173481</v>
      </c>
      <c r="S12" s="1">
        <v>194436</v>
      </c>
      <c r="T12" s="1">
        <v>189342</v>
      </c>
      <c r="U12" s="1">
        <v>202854</v>
      </c>
      <c r="V12" s="1">
        <v>239914</v>
      </c>
      <c r="W12" s="1">
        <v>236044</v>
      </c>
      <c r="X12" s="1">
        <v>211978</v>
      </c>
      <c r="Y12" s="1">
        <v>217363</v>
      </c>
      <c r="Z12" s="1">
        <v>216637</v>
      </c>
      <c r="AA12" s="1">
        <v>196268</v>
      </c>
      <c r="AB12" s="1">
        <v>196479</v>
      </c>
      <c r="AC12" s="1">
        <v>212687</v>
      </c>
      <c r="AD12" s="1">
        <v>260714</v>
      </c>
      <c r="AE12" s="1">
        <v>299075</v>
      </c>
      <c r="AF12" s="1">
        <v>314126</v>
      </c>
      <c r="AG12" s="1">
        <v>333924</v>
      </c>
      <c r="AH12" s="1">
        <v>386806</v>
      </c>
      <c r="AI12" s="1">
        <v>429187</v>
      </c>
      <c r="AJ12" s="1">
        <v>398857</v>
      </c>
      <c r="AK12" s="1">
        <v>390146</v>
      </c>
      <c r="AL12" s="1">
        <v>428879</v>
      </c>
      <c r="AM12" s="1">
        <v>407008</v>
      </c>
      <c r="AN12" s="1">
        <v>426587</v>
      </c>
      <c r="AO12" s="1">
        <v>438669</v>
      </c>
      <c r="AP12" s="1">
        <v>379584</v>
      </c>
      <c r="AQ12" s="1">
        <v>393579</v>
      </c>
      <c r="AR12" s="1">
        <v>414780</v>
      </c>
      <c r="AS12" s="1">
        <v>452787</v>
      </c>
      <c r="AT12" s="1">
        <v>443033</v>
      </c>
      <c r="AU12" s="1">
        <v>434050</v>
      </c>
      <c r="AV12" s="1">
        <v>480786</v>
      </c>
      <c r="AW12" s="1">
        <v>472339</v>
      </c>
      <c r="AX12" s="1">
        <v>512509</v>
      </c>
      <c r="AY12" s="1">
        <v>521269</v>
      </c>
      <c r="AZ12" s="1">
        <v>534301</v>
      </c>
    </row>
    <row r="13" spans="1:52" x14ac:dyDescent="0.3">
      <c r="A13" t="s">
        <v>12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>
        <v>1193</v>
      </c>
      <c r="T13" s="1">
        <v>1309</v>
      </c>
      <c r="U13" s="1">
        <v>2258</v>
      </c>
      <c r="V13" s="1">
        <v>2417</v>
      </c>
      <c r="W13" s="1">
        <v>3177</v>
      </c>
      <c r="X13" s="1">
        <v>4317</v>
      </c>
      <c r="Y13" s="1">
        <v>4280</v>
      </c>
      <c r="Z13" s="1">
        <v>4581</v>
      </c>
      <c r="AA13" s="1">
        <v>5273</v>
      </c>
      <c r="AB13" s="1">
        <v>5475</v>
      </c>
      <c r="AC13" s="1">
        <v>6232</v>
      </c>
      <c r="AD13" s="1">
        <v>7276</v>
      </c>
      <c r="AE13" s="1">
        <v>8682</v>
      </c>
      <c r="AF13" s="1">
        <v>13239</v>
      </c>
      <c r="AG13" s="1">
        <v>20983</v>
      </c>
      <c r="AH13" s="1">
        <v>33050</v>
      </c>
      <c r="AI13" s="1">
        <v>48852</v>
      </c>
      <c r="AJ13" s="1">
        <v>44297</v>
      </c>
      <c r="AK13" s="1">
        <v>52909</v>
      </c>
      <c r="AL13" s="1">
        <v>65952</v>
      </c>
      <c r="AM13" s="1">
        <v>69684</v>
      </c>
      <c r="AN13" s="1">
        <v>74164</v>
      </c>
      <c r="AO13" s="1">
        <v>75235</v>
      </c>
      <c r="AP13" s="1">
        <v>52997</v>
      </c>
      <c r="AQ13" s="1">
        <v>37830</v>
      </c>
      <c r="AR13" s="1">
        <v>41375</v>
      </c>
      <c r="AS13" s="1">
        <v>47113</v>
      </c>
      <c r="AT13" s="1">
        <v>48174</v>
      </c>
      <c r="AU13" s="1">
        <v>42693</v>
      </c>
      <c r="AV13" s="1">
        <v>54825</v>
      </c>
      <c r="AW13" s="1">
        <v>78807</v>
      </c>
      <c r="AX13" s="1">
        <v>72428</v>
      </c>
      <c r="AY13" s="1">
        <v>74316</v>
      </c>
      <c r="AZ13" s="1">
        <v>78870</v>
      </c>
    </row>
    <row r="14" spans="1:52" x14ac:dyDescent="0.3">
      <c r="A14" t="s">
        <v>13</v>
      </c>
      <c r="B14" s="1">
        <v>892</v>
      </c>
      <c r="C14" s="1">
        <v>971</v>
      </c>
      <c r="D14" s="1">
        <v>1162</v>
      </c>
      <c r="E14" s="1">
        <v>1336</v>
      </c>
      <c r="F14" s="1">
        <v>1579</v>
      </c>
      <c r="G14" s="1">
        <v>2598</v>
      </c>
      <c r="H14" s="1">
        <v>2692</v>
      </c>
      <c r="I14" s="1">
        <v>3031</v>
      </c>
      <c r="J14" s="1">
        <v>3373</v>
      </c>
      <c r="K14" s="1">
        <v>3603</v>
      </c>
      <c r="L14" s="1">
        <v>3923</v>
      </c>
      <c r="M14" s="1">
        <v>4241</v>
      </c>
      <c r="N14" s="1">
        <v>4669</v>
      </c>
      <c r="O14" s="1">
        <v>4855</v>
      </c>
      <c r="P14" s="1">
        <v>5473</v>
      </c>
      <c r="Q14" s="1">
        <v>5218</v>
      </c>
      <c r="R14" s="1">
        <v>5128</v>
      </c>
      <c r="S14" s="1">
        <v>5125</v>
      </c>
      <c r="T14" s="1">
        <v>5097</v>
      </c>
      <c r="U14" s="1">
        <v>5372</v>
      </c>
      <c r="V14" s="1">
        <v>5653</v>
      </c>
      <c r="W14" s="1">
        <v>5950</v>
      </c>
      <c r="X14" s="1">
        <v>6332</v>
      </c>
      <c r="Y14" s="1">
        <v>6833</v>
      </c>
      <c r="Z14" s="1">
        <v>7684</v>
      </c>
      <c r="AA14" s="1">
        <v>8076</v>
      </c>
      <c r="AB14" s="1">
        <v>8318</v>
      </c>
      <c r="AC14" s="1">
        <v>8881</v>
      </c>
      <c r="AD14" s="1">
        <v>8870</v>
      </c>
      <c r="AE14" s="1">
        <v>9055</v>
      </c>
      <c r="AF14" s="1">
        <v>9836</v>
      </c>
      <c r="AG14" s="1">
        <v>10167</v>
      </c>
      <c r="AH14" s="1">
        <v>10618</v>
      </c>
      <c r="AI14" s="1">
        <v>10526</v>
      </c>
      <c r="AJ14" s="1">
        <v>9982</v>
      </c>
      <c r="AK14" s="1">
        <v>10096</v>
      </c>
      <c r="AL14" s="1">
        <v>10070</v>
      </c>
      <c r="AM14" s="1">
        <v>10720</v>
      </c>
      <c r="AN14" s="1">
        <v>10396</v>
      </c>
      <c r="AO14" s="1">
        <v>10974</v>
      </c>
      <c r="AP14" s="1">
        <v>11672</v>
      </c>
      <c r="AQ14" s="1">
        <v>11745</v>
      </c>
      <c r="AR14" s="1">
        <v>12237</v>
      </c>
      <c r="AS14" s="1">
        <v>12616</v>
      </c>
      <c r="AT14" s="1">
        <v>13016</v>
      </c>
      <c r="AU14" s="1">
        <v>9958</v>
      </c>
      <c r="AV14" s="1">
        <v>11369</v>
      </c>
      <c r="AW14" s="1">
        <v>13136</v>
      </c>
      <c r="AX14" s="1">
        <v>14338</v>
      </c>
      <c r="AY14" s="1">
        <v>14761</v>
      </c>
      <c r="AZ14" s="1">
        <v>15178</v>
      </c>
    </row>
    <row r="15" spans="1:52" x14ac:dyDescent="0.3">
      <c r="A15" t="s">
        <v>14</v>
      </c>
      <c r="B15" s="1">
        <v>1185</v>
      </c>
      <c r="C15" s="1">
        <v>1705</v>
      </c>
      <c r="D15" s="1">
        <v>2144</v>
      </c>
      <c r="E15" s="1">
        <v>2449</v>
      </c>
      <c r="F15" s="1">
        <v>2920</v>
      </c>
      <c r="G15" s="1">
        <v>3745</v>
      </c>
      <c r="H15" s="1">
        <v>4228</v>
      </c>
      <c r="I15" s="1">
        <v>4445</v>
      </c>
      <c r="J15" s="1">
        <v>4554</v>
      </c>
      <c r="K15" s="1">
        <v>4727</v>
      </c>
      <c r="L15" s="1">
        <v>4460</v>
      </c>
      <c r="M15" s="1">
        <v>3490</v>
      </c>
      <c r="N15" s="1">
        <v>3780</v>
      </c>
      <c r="O15" s="1">
        <v>4672</v>
      </c>
      <c r="P15" s="1">
        <v>4873</v>
      </c>
      <c r="Q15" s="1">
        <v>5176</v>
      </c>
      <c r="R15" s="1">
        <v>5430</v>
      </c>
      <c r="S15" s="1">
        <v>5673</v>
      </c>
      <c r="T15" s="1">
        <v>6241</v>
      </c>
      <c r="U15" s="1">
        <v>6683</v>
      </c>
      <c r="V15" s="1">
        <v>7075</v>
      </c>
      <c r="W15" s="1">
        <v>7357</v>
      </c>
      <c r="X15" s="1">
        <v>7629</v>
      </c>
      <c r="Y15" s="1">
        <v>7293</v>
      </c>
      <c r="Z15" s="1">
        <v>7905</v>
      </c>
      <c r="AA15" s="1">
        <v>9448</v>
      </c>
      <c r="AB15" s="1">
        <v>9579</v>
      </c>
      <c r="AC15" s="1">
        <v>10001</v>
      </c>
      <c r="AD15" s="1">
        <v>11546</v>
      </c>
      <c r="AE15" s="1">
        <v>13709</v>
      </c>
      <c r="AF15" s="1">
        <v>16647</v>
      </c>
      <c r="AG15" s="1">
        <v>19291</v>
      </c>
      <c r="AH15" s="1">
        <v>22653</v>
      </c>
      <c r="AI15" s="1">
        <v>26803</v>
      </c>
      <c r="AJ15" s="1">
        <v>23913</v>
      </c>
      <c r="AK15" s="1">
        <v>26806</v>
      </c>
      <c r="AL15" s="1">
        <v>29915</v>
      </c>
      <c r="AM15" s="1">
        <v>31963</v>
      </c>
      <c r="AN15" s="1">
        <v>33823</v>
      </c>
      <c r="AO15" s="1">
        <v>34773</v>
      </c>
      <c r="AP15" s="1">
        <v>32523</v>
      </c>
      <c r="AQ15" s="1">
        <v>33885</v>
      </c>
      <c r="AR15" s="1">
        <v>37205</v>
      </c>
      <c r="AS15" s="1">
        <v>39568</v>
      </c>
      <c r="AT15" s="1">
        <v>40447</v>
      </c>
      <c r="AU15" s="1">
        <v>35838</v>
      </c>
      <c r="AV15" s="1">
        <v>40840</v>
      </c>
      <c r="AW15" s="1">
        <v>46458</v>
      </c>
      <c r="AX15" s="1">
        <v>46192</v>
      </c>
      <c r="AY15" s="1">
        <v>46943</v>
      </c>
      <c r="AZ15" s="1">
        <v>47829</v>
      </c>
    </row>
    <row r="16" spans="1:52" x14ac:dyDescent="0.3">
      <c r="A16" t="s">
        <v>15</v>
      </c>
      <c r="B16" s="1">
        <v>8476</v>
      </c>
      <c r="C16" s="1">
        <v>9447</v>
      </c>
      <c r="D16" s="1">
        <v>9950</v>
      </c>
      <c r="E16" s="1">
        <v>12751</v>
      </c>
      <c r="F16" s="1">
        <v>14758</v>
      </c>
      <c r="G16" s="1">
        <v>24775</v>
      </c>
      <c r="H16" s="1">
        <v>26355</v>
      </c>
      <c r="I16" s="1">
        <v>24678</v>
      </c>
      <c r="J16" s="1">
        <v>23904</v>
      </c>
      <c r="K16" s="1">
        <v>26817</v>
      </c>
      <c r="L16" s="1">
        <v>28819</v>
      </c>
      <c r="M16" s="1">
        <v>29639</v>
      </c>
      <c r="N16" s="1">
        <v>32449</v>
      </c>
      <c r="O16" s="1">
        <v>34914</v>
      </c>
      <c r="P16" s="1">
        <v>38070</v>
      </c>
      <c r="Q16" s="1">
        <v>41068</v>
      </c>
      <c r="R16" s="1">
        <v>42488</v>
      </c>
      <c r="S16" s="1">
        <v>43292</v>
      </c>
      <c r="T16" s="1">
        <v>43684</v>
      </c>
      <c r="U16" s="1">
        <v>46438</v>
      </c>
      <c r="V16" s="1">
        <v>51842</v>
      </c>
      <c r="W16" s="1">
        <v>55445</v>
      </c>
      <c r="X16" s="1">
        <v>57599</v>
      </c>
      <c r="Y16" s="1">
        <v>59879</v>
      </c>
      <c r="Z16" s="1">
        <v>61526</v>
      </c>
      <c r="AA16" s="1">
        <v>61687</v>
      </c>
      <c r="AB16" s="1">
        <v>62537</v>
      </c>
      <c r="AC16" s="1">
        <v>65036</v>
      </c>
      <c r="AD16" s="1">
        <v>71755</v>
      </c>
      <c r="AE16" s="1">
        <v>77152</v>
      </c>
      <c r="AF16" s="1">
        <v>79530</v>
      </c>
      <c r="AG16" s="1">
        <v>86028</v>
      </c>
      <c r="AH16" s="1">
        <v>95374</v>
      </c>
      <c r="AI16" s="1">
        <v>109765</v>
      </c>
      <c r="AJ16" s="1">
        <v>122760</v>
      </c>
      <c r="AK16" s="1">
        <v>138094</v>
      </c>
      <c r="AL16" s="1">
        <v>154097</v>
      </c>
      <c r="AM16" s="1">
        <v>159749</v>
      </c>
      <c r="AN16" s="1">
        <v>179676</v>
      </c>
      <c r="AO16" s="1">
        <v>207102</v>
      </c>
      <c r="AP16" s="1">
        <v>233687</v>
      </c>
      <c r="AQ16" s="1">
        <v>265236</v>
      </c>
      <c r="AR16" s="1">
        <v>293755</v>
      </c>
      <c r="AS16" s="1">
        <v>321379</v>
      </c>
      <c r="AT16" s="1">
        <v>351238</v>
      </c>
      <c r="AU16" s="1">
        <v>373902</v>
      </c>
      <c r="AV16" s="1">
        <v>416265</v>
      </c>
      <c r="AW16" s="1">
        <v>460201</v>
      </c>
      <c r="AX16" s="1">
        <v>451534</v>
      </c>
      <c r="AY16" s="1">
        <v>451096</v>
      </c>
      <c r="AZ16" s="1">
        <v>467218</v>
      </c>
    </row>
    <row r="17" spans="1:52" x14ac:dyDescent="0.3">
      <c r="A17" t="s">
        <v>16</v>
      </c>
      <c r="B17" s="1">
        <v>476</v>
      </c>
      <c r="C17" s="1">
        <v>517</v>
      </c>
      <c r="D17" s="1">
        <v>588</v>
      </c>
      <c r="E17" s="1">
        <v>658</v>
      </c>
      <c r="F17" s="1">
        <v>798</v>
      </c>
      <c r="G17" s="1">
        <v>1048</v>
      </c>
      <c r="H17" s="1">
        <v>1154</v>
      </c>
      <c r="I17" s="1">
        <v>1205</v>
      </c>
      <c r="J17" s="1">
        <v>1280</v>
      </c>
      <c r="K17" s="1">
        <v>1395</v>
      </c>
      <c r="L17" s="1">
        <v>1460</v>
      </c>
      <c r="M17" s="1">
        <v>1603</v>
      </c>
      <c r="N17" s="1">
        <v>1765</v>
      </c>
      <c r="O17" s="1">
        <v>1877</v>
      </c>
      <c r="P17" s="1">
        <v>2077</v>
      </c>
      <c r="Q17" s="1">
        <v>2084</v>
      </c>
      <c r="R17" s="1">
        <v>2092</v>
      </c>
      <c r="S17" s="1">
        <v>2015</v>
      </c>
      <c r="T17" s="1">
        <v>2136</v>
      </c>
      <c r="U17" s="1">
        <v>2227</v>
      </c>
      <c r="V17" s="1">
        <v>2348</v>
      </c>
      <c r="W17" s="1">
        <v>2515</v>
      </c>
      <c r="X17" s="1">
        <v>2667</v>
      </c>
      <c r="Y17" s="1">
        <v>3057</v>
      </c>
      <c r="Z17" s="1">
        <v>3210</v>
      </c>
      <c r="AA17" s="1">
        <v>3312</v>
      </c>
      <c r="AB17" s="1">
        <v>3306</v>
      </c>
      <c r="AC17" s="1">
        <v>3364</v>
      </c>
      <c r="AD17" s="1">
        <v>3479</v>
      </c>
      <c r="AE17" s="1">
        <v>3754</v>
      </c>
      <c r="AF17" s="1">
        <v>4213</v>
      </c>
      <c r="AG17" s="1">
        <v>4702</v>
      </c>
      <c r="AH17" s="1">
        <v>5273</v>
      </c>
      <c r="AI17" s="1">
        <v>5401</v>
      </c>
      <c r="AJ17" s="1">
        <v>5064</v>
      </c>
      <c r="AK17" s="1">
        <v>5138</v>
      </c>
      <c r="AL17" s="1">
        <v>5302</v>
      </c>
      <c r="AM17" s="1">
        <v>5233</v>
      </c>
      <c r="AN17" s="1">
        <v>5338</v>
      </c>
      <c r="AO17" s="1">
        <v>5366</v>
      </c>
      <c r="AP17" s="1">
        <v>5288</v>
      </c>
      <c r="AQ17" s="1">
        <v>5331</v>
      </c>
      <c r="AR17" s="1">
        <v>5517</v>
      </c>
      <c r="AS17" s="1">
        <v>5630</v>
      </c>
      <c r="AT17" s="1">
        <v>5788</v>
      </c>
      <c r="AU17" s="1">
        <v>5168</v>
      </c>
      <c r="AV17" s="1">
        <v>5275</v>
      </c>
      <c r="AW17" s="1">
        <v>6257</v>
      </c>
      <c r="AX17" s="1">
        <v>6721</v>
      </c>
      <c r="AY17" s="1">
        <v>7167</v>
      </c>
      <c r="AZ17" s="1">
        <v>7552</v>
      </c>
    </row>
    <row r="18" spans="1:52" x14ac:dyDescent="0.3">
      <c r="A18" t="s">
        <v>17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>
        <v>12800</v>
      </c>
      <c r="T18" s="1">
        <v>11408</v>
      </c>
      <c r="U18" s="1">
        <v>15687</v>
      </c>
      <c r="V18" s="1">
        <v>10532</v>
      </c>
      <c r="W18" s="1">
        <v>14494</v>
      </c>
      <c r="X18" s="1">
        <v>14091</v>
      </c>
      <c r="Y18" s="1">
        <v>15215</v>
      </c>
      <c r="Z18" s="1">
        <v>12133</v>
      </c>
      <c r="AA18" s="1">
        <v>10785</v>
      </c>
      <c r="AB18" s="1">
        <v>12778</v>
      </c>
      <c r="AC18" s="1">
        <v>15092</v>
      </c>
      <c r="AD18" s="1">
        <v>18420</v>
      </c>
      <c r="AE18" s="1">
        <v>23928</v>
      </c>
      <c r="AF18" s="1">
        <v>31239</v>
      </c>
      <c r="AG18" s="1">
        <v>38219</v>
      </c>
      <c r="AH18" s="1">
        <v>46815</v>
      </c>
      <c r="AI18" s="1">
        <v>62798</v>
      </c>
      <c r="AJ18" s="1">
        <v>50855</v>
      </c>
      <c r="AK18" s="1">
        <v>57220</v>
      </c>
      <c r="AL18" s="1">
        <v>61368</v>
      </c>
      <c r="AM18" s="1">
        <v>65669</v>
      </c>
      <c r="AN18" s="1">
        <v>75496</v>
      </c>
      <c r="AO18" s="1">
        <v>78736</v>
      </c>
      <c r="AP18" s="1">
        <v>56329</v>
      </c>
      <c r="AQ18" s="1">
        <v>47703</v>
      </c>
      <c r="AR18" s="1">
        <v>54723</v>
      </c>
      <c r="AS18" s="1">
        <v>60011</v>
      </c>
      <c r="AT18" s="1">
        <v>64414</v>
      </c>
      <c r="AU18" s="1">
        <v>61312</v>
      </c>
      <c r="AV18" s="1">
        <v>68207</v>
      </c>
      <c r="AW18" s="1">
        <v>73735</v>
      </c>
      <c r="AX18" s="1">
        <v>71792</v>
      </c>
      <c r="AY18" s="1">
        <v>71180</v>
      </c>
      <c r="AZ18" s="1">
        <v>71561</v>
      </c>
    </row>
    <row r="19" spans="1:52" x14ac:dyDescent="0.3">
      <c r="A19" t="s">
        <v>18</v>
      </c>
      <c r="B19" s="1">
        <v>66028</v>
      </c>
      <c r="C19" s="1">
        <v>71495</v>
      </c>
      <c r="D19" s="1">
        <v>83282</v>
      </c>
      <c r="E19" s="1">
        <v>101793</v>
      </c>
      <c r="F19" s="1">
        <v>116940</v>
      </c>
      <c r="G19" s="1">
        <v>123479</v>
      </c>
      <c r="H19" s="1">
        <v>102245</v>
      </c>
      <c r="I19" s="1">
        <v>89959</v>
      </c>
      <c r="J19" s="1">
        <v>85037</v>
      </c>
      <c r="K19" s="1">
        <v>81237</v>
      </c>
      <c r="L19" s="1">
        <v>84468</v>
      </c>
      <c r="M19" s="1">
        <v>117063</v>
      </c>
      <c r="N19" s="1">
        <v>145412</v>
      </c>
      <c r="O19" s="1">
        <v>158098</v>
      </c>
      <c r="P19" s="1">
        <v>159817</v>
      </c>
      <c r="Q19" s="1">
        <v>200150</v>
      </c>
      <c r="R19" s="1">
        <v>205370</v>
      </c>
      <c r="S19" s="1">
        <v>228733</v>
      </c>
      <c r="T19" s="1">
        <v>218721</v>
      </c>
      <c r="U19" s="1">
        <v>238623</v>
      </c>
      <c r="V19" s="1">
        <v>288302</v>
      </c>
      <c r="W19" s="1">
        <v>279292</v>
      </c>
      <c r="X19" s="1">
        <v>253022</v>
      </c>
      <c r="Y19" s="1">
        <v>258876</v>
      </c>
      <c r="Z19" s="1">
        <v>258503</v>
      </c>
      <c r="AA19" s="1">
        <v>236897</v>
      </c>
      <c r="AB19" s="1">
        <v>236748</v>
      </c>
      <c r="AC19" s="1">
        <v>258200</v>
      </c>
      <c r="AD19" s="1">
        <v>318004</v>
      </c>
      <c r="AE19" s="1">
        <v>369047</v>
      </c>
      <c r="AF19" s="1">
        <v>385927</v>
      </c>
      <c r="AG19" s="1">
        <v>408281</v>
      </c>
      <c r="AH19" s="1">
        <v>470978</v>
      </c>
      <c r="AI19" s="1">
        <v>517271</v>
      </c>
      <c r="AJ19" s="1">
        <v>484488</v>
      </c>
      <c r="AK19" s="1">
        <v>481949</v>
      </c>
      <c r="AL19" s="1">
        <v>527106</v>
      </c>
      <c r="AM19" s="1">
        <v>498731</v>
      </c>
      <c r="AN19" s="1">
        <v>524106</v>
      </c>
      <c r="AO19" s="1">
        <v>538127</v>
      </c>
      <c r="AP19" s="1">
        <v>461091</v>
      </c>
      <c r="AQ19" s="1">
        <v>474141</v>
      </c>
      <c r="AR19" s="1">
        <v>500733</v>
      </c>
      <c r="AS19" s="1">
        <v>542885</v>
      </c>
      <c r="AT19" s="1">
        <v>536787</v>
      </c>
      <c r="AU19" s="1">
        <v>529269</v>
      </c>
      <c r="AV19" s="1">
        <v>598892</v>
      </c>
      <c r="AW19" s="1">
        <v>593906</v>
      </c>
      <c r="AX19" s="1">
        <v>644968</v>
      </c>
      <c r="AY19" s="1">
        <v>664965</v>
      </c>
      <c r="AZ19" s="1">
        <v>684864</v>
      </c>
    </row>
    <row r="20" spans="1:52" x14ac:dyDescent="0.3">
      <c r="A20" t="s">
        <v>19</v>
      </c>
      <c r="B20" s="1">
        <v>104</v>
      </c>
      <c r="C20" s="1">
        <v>82</v>
      </c>
      <c r="D20" s="1">
        <v>106</v>
      </c>
      <c r="E20" s="1">
        <v>121</v>
      </c>
      <c r="F20" s="1">
        <v>141</v>
      </c>
      <c r="G20" s="1">
        <v>229</v>
      </c>
      <c r="H20" s="1">
        <v>238</v>
      </c>
      <c r="I20" s="1">
        <v>238</v>
      </c>
      <c r="J20" s="1">
        <v>251</v>
      </c>
      <c r="K20" s="1">
        <v>280</v>
      </c>
      <c r="L20" s="1">
        <v>278</v>
      </c>
      <c r="M20" s="1">
        <v>303</v>
      </c>
      <c r="N20" s="1">
        <v>354</v>
      </c>
      <c r="O20" s="1">
        <v>418</v>
      </c>
      <c r="P20" s="1">
        <v>482</v>
      </c>
      <c r="Q20" s="1">
        <v>547</v>
      </c>
      <c r="R20" s="1">
        <v>597</v>
      </c>
      <c r="S20" s="1">
        <v>696</v>
      </c>
      <c r="T20" s="1">
        <v>753</v>
      </c>
      <c r="U20" s="1">
        <v>772</v>
      </c>
      <c r="V20" s="1">
        <v>819</v>
      </c>
      <c r="W20" s="1">
        <v>851</v>
      </c>
      <c r="X20" s="1">
        <v>873</v>
      </c>
      <c r="Y20" s="1">
        <v>929</v>
      </c>
      <c r="Z20" s="1">
        <v>1000</v>
      </c>
      <c r="AA20" s="1">
        <v>1139</v>
      </c>
      <c r="AB20" s="1">
        <v>1173</v>
      </c>
      <c r="AC20" s="1">
        <v>1245</v>
      </c>
      <c r="AD20" s="1">
        <v>1309</v>
      </c>
      <c r="AE20" s="1">
        <v>1401</v>
      </c>
      <c r="AF20" s="1">
        <v>1475</v>
      </c>
      <c r="AG20" s="1">
        <v>1591</v>
      </c>
      <c r="AH20" s="1">
        <v>1707</v>
      </c>
      <c r="AI20" s="1">
        <v>1739</v>
      </c>
      <c r="AJ20" s="1">
        <v>1688</v>
      </c>
      <c r="AK20" s="1">
        <v>1746</v>
      </c>
      <c r="AL20" s="1">
        <v>1827</v>
      </c>
      <c r="AM20" s="1">
        <v>1909</v>
      </c>
      <c r="AN20" s="1">
        <v>2033</v>
      </c>
      <c r="AO20" s="1">
        <v>2138</v>
      </c>
      <c r="AP20" s="1">
        <v>2193</v>
      </c>
      <c r="AQ20" s="1">
        <v>2240</v>
      </c>
      <c r="AR20" s="1">
        <v>2266</v>
      </c>
      <c r="AS20" s="1">
        <v>2293</v>
      </c>
      <c r="AT20" s="1">
        <v>2388</v>
      </c>
      <c r="AU20" s="1">
        <v>2043</v>
      </c>
      <c r="AV20" s="1">
        <v>2421</v>
      </c>
      <c r="AW20" s="1">
        <v>2847</v>
      </c>
      <c r="AX20" s="1">
        <v>3067</v>
      </c>
      <c r="AY20" s="1">
        <v>3427</v>
      </c>
      <c r="AZ20" s="1">
        <v>3611</v>
      </c>
    </row>
    <row r="21" spans="1:52" x14ac:dyDescent="0.3">
      <c r="A21" t="s">
        <v>20</v>
      </c>
      <c r="B21" s="1">
        <v>674</v>
      </c>
      <c r="C21" s="1">
        <v>718</v>
      </c>
      <c r="D21" s="1">
        <v>786</v>
      </c>
      <c r="E21" s="1">
        <v>954</v>
      </c>
      <c r="F21" s="1">
        <v>1162</v>
      </c>
      <c r="G21" s="1">
        <v>2302</v>
      </c>
      <c r="H21" s="1">
        <v>1557</v>
      </c>
      <c r="I21" s="1">
        <v>1542</v>
      </c>
      <c r="J21" s="1">
        <v>1365</v>
      </c>
      <c r="K21" s="1">
        <v>1456</v>
      </c>
      <c r="L21" s="1">
        <v>1580</v>
      </c>
      <c r="M21" s="1">
        <v>2036</v>
      </c>
      <c r="N21" s="1">
        <v>2430</v>
      </c>
      <c r="O21" s="1">
        <v>2552</v>
      </c>
      <c r="P21" s="1">
        <v>2370</v>
      </c>
      <c r="Q21" s="1">
        <v>2890</v>
      </c>
      <c r="R21" s="1">
        <v>2954</v>
      </c>
      <c r="S21" s="1">
        <v>3284</v>
      </c>
      <c r="T21" s="1">
        <v>3199</v>
      </c>
      <c r="U21" s="1">
        <v>2227</v>
      </c>
      <c r="V21" s="1">
        <v>2993</v>
      </c>
      <c r="W21" s="1">
        <v>3251</v>
      </c>
      <c r="X21" s="1">
        <v>3124</v>
      </c>
      <c r="Y21" s="1">
        <v>3362</v>
      </c>
      <c r="Z21" s="1">
        <v>3681</v>
      </c>
      <c r="AA21" s="1">
        <v>3522</v>
      </c>
      <c r="AB21" s="1">
        <v>3666</v>
      </c>
      <c r="AC21" s="1">
        <v>4191</v>
      </c>
      <c r="AD21" s="1">
        <v>5348</v>
      </c>
      <c r="AE21" s="1">
        <v>6187</v>
      </c>
      <c r="AF21" s="1">
        <v>6571</v>
      </c>
      <c r="AG21" s="1">
        <v>7034</v>
      </c>
      <c r="AH21" s="1">
        <v>8170</v>
      </c>
      <c r="AI21" s="1">
        <v>9787</v>
      </c>
      <c r="AJ21" s="1">
        <v>9728</v>
      </c>
      <c r="AK21" s="1">
        <v>9543</v>
      </c>
      <c r="AL21" s="1">
        <v>10691</v>
      </c>
      <c r="AM21" s="1">
        <v>11148</v>
      </c>
      <c r="AN21" s="1">
        <v>12518</v>
      </c>
      <c r="AO21" s="1">
        <v>13288</v>
      </c>
      <c r="AP21" s="1">
        <v>11389</v>
      </c>
      <c r="AQ21" s="1">
        <v>11818</v>
      </c>
      <c r="AR21" s="1">
        <v>12697</v>
      </c>
      <c r="AS21" s="1">
        <v>14257</v>
      </c>
      <c r="AT21" s="1">
        <v>14392</v>
      </c>
      <c r="AU21" s="1">
        <v>15674</v>
      </c>
      <c r="AV21" s="1">
        <v>17699</v>
      </c>
      <c r="AW21" s="1">
        <v>17439</v>
      </c>
      <c r="AX21" s="1">
        <v>19679</v>
      </c>
      <c r="AY21" s="1">
        <v>21249</v>
      </c>
      <c r="AZ21" s="1">
        <v>22236</v>
      </c>
    </row>
    <row r="22" spans="1:52" x14ac:dyDescent="0.3">
      <c r="A22" t="s">
        <v>21</v>
      </c>
      <c r="B22" s="1">
        <v>87</v>
      </c>
      <c r="C22" s="1">
        <v>88</v>
      </c>
      <c r="D22" s="1">
        <v>98</v>
      </c>
      <c r="E22" s="1">
        <v>94</v>
      </c>
      <c r="F22" s="1">
        <v>105</v>
      </c>
      <c r="G22" s="1">
        <v>132</v>
      </c>
      <c r="H22" s="1">
        <v>143</v>
      </c>
      <c r="I22" s="1">
        <v>150</v>
      </c>
      <c r="J22" s="1">
        <v>162</v>
      </c>
      <c r="K22" s="1">
        <v>168</v>
      </c>
      <c r="L22" s="1">
        <v>174</v>
      </c>
      <c r="M22" s="1">
        <v>197</v>
      </c>
      <c r="N22" s="1">
        <v>238</v>
      </c>
      <c r="O22" s="1">
        <v>273</v>
      </c>
      <c r="P22" s="1">
        <v>272</v>
      </c>
      <c r="Q22" s="1">
        <v>293</v>
      </c>
      <c r="R22" s="1">
        <v>254</v>
      </c>
      <c r="S22" s="1">
        <v>248</v>
      </c>
      <c r="T22" s="1">
        <v>260</v>
      </c>
      <c r="U22" s="1">
        <v>263</v>
      </c>
      <c r="V22" s="1">
        <v>308</v>
      </c>
      <c r="W22" s="1">
        <v>324</v>
      </c>
      <c r="X22" s="1">
        <v>362</v>
      </c>
      <c r="Y22" s="1">
        <v>398</v>
      </c>
      <c r="Z22" s="1">
        <v>418</v>
      </c>
      <c r="AA22" s="1">
        <v>454</v>
      </c>
      <c r="AB22" s="1">
        <v>474</v>
      </c>
      <c r="AC22" s="1">
        <v>517</v>
      </c>
      <c r="AD22" s="1">
        <v>616</v>
      </c>
      <c r="AE22" s="1">
        <v>700</v>
      </c>
      <c r="AF22" s="1">
        <v>818</v>
      </c>
      <c r="AG22" s="1">
        <v>876</v>
      </c>
      <c r="AH22" s="1">
        <v>1071</v>
      </c>
      <c r="AI22" s="1">
        <v>1353</v>
      </c>
      <c r="AJ22" s="1">
        <v>1274</v>
      </c>
      <c r="AK22" s="1">
        <v>1528</v>
      </c>
      <c r="AL22" s="1">
        <v>1880</v>
      </c>
      <c r="AM22" s="1">
        <v>1967</v>
      </c>
      <c r="AN22" s="1">
        <v>1999</v>
      </c>
      <c r="AO22" s="1">
        <v>1963</v>
      </c>
      <c r="AP22" s="1">
        <v>2159</v>
      </c>
      <c r="AQ22" s="1">
        <v>2252</v>
      </c>
      <c r="AR22" s="1">
        <v>2462</v>
      </c>
      <c r="AS22" s="1">
        <v>2651</v>
      </c>
      <c r="AT22" s="1">
        <v>2618</v>
      </c>
      <c r="AU22" s="1">
        <v>2586</v>
      </c>
      <c r="AV22" s="1">
        <v>2623</v>
      </c>
      <c r="AW22" s="1">
        <v>2869</v>
      </c>
      <c r="AX22" s="1">
        <v>2923</v>
      </c>
      <c r="AY22" s="1">
        <v>3092</v>
      </c>
      <c r="AZ22" s="1">
        <v>3422</v>
      </c>
    </row>
    <row r="23" spans="1:52" x14ac:dyDescent="0.3">
      <c r="A23" t="s">
        <v>22</v>
      </c>
      <c r="B23" s="1">
        <v>2399</v>
      </c>
      <c r="C23" s="1">
        <v>2749</v>
      </c>
      <c r="D23" s="1">
        <v>2765</v>
      </c>
      <c r="E23" s="1">
        <v>3020</v>
      </c>
      <c r="F23" s="1">
        <v>3274</v>
      </c>
      <c r="G23" s="1">
        <v>3589</v>
      </c>
      <c r="H23" s="1">
        <v>3440</v>
      </c>
      <c r="I23" s="1">
        <v>3813</v>
      </c>
      <c r="J23" s="1">
        <v>3609</v>
      </c>
      <c r="K23" s="1">
        <v>3752</v>
      </c>
      <c r="L23" s="1">
        <v>4059</v>
      </c>
      <c r="M23" s="1">
        <v>3970</v>
      </c>
      <c r="N23" s="1">
        <v>4323</v>
      </c>
      <c r="O23" s="1">
        <v>4598</v>
      </c>
      <c r="P23" s="1">
        <v>4716</v>
      </c>
      <c r="Q23" s="1">
        <v>4868</v>
      </c>
      <c r="R23" s="1">
        <v>5335</v>
      </c>
      <c r="S23" s="1">
        <v>5635</v>
      </c>
      <c r="T23" s="1">
        <v>5724</v>
      </c>
      <c r="U23" s="1">
        <v>5974</v>
      </c>
      <c r="V23" s="1">
        <v>6707</v>
      </c>
      <c r="W23" s="1">
        <v>7385</v>
      </c>
      <c r="X23" s="1">
        <v>7919</v>
      </c>
      <c r="Y23" s="1">
        <v>8490</v>
      </c>
      <c r="Z23" s="1">
        <v>8269</v>
      </c>
      <c r="AA23" s="1">
        <v>8385</v>
      </c>
      <c r="AB23" s="1">
        <v>8155</v>
      </c>
      <c r="AC23" s="1">
        <v>7917</v>
      </c>
      <c r="AD23" s="1">
        <v>8092</v>
      </c>
      <c r="AE23" s="1">
        <v>8785</v>
      </c>
      <c r="AF23" s="1">
        <v>9573</v>
      </c>
      <c r="AG23" s="1">
        <v>11520</v>
      </c>
      <c r="AH23" s="1">
        <v>13216</v>
      </c>
      <c r="AI23" s="1">
        <v>16792</v>
      </c>
      <c r="AJ23" s="1">
        <v>17464</v>
      </c>
      <c r="AK23" s="1">
        <v>19786</v>
      </c>
      <c r="AL23" s="1">
        <v>24135</v>
      </c>
      <c r="AM23" s="1">
        <v>27282</v>
      </c>
      <c r="AN23" s="1">
        <v>30883</v>
      </c>
      <c r="AO23" s="1">
        <v>33237</v>
      </c>
      <c r="AP23" s="1">
        <v>33241</v>
      </c>
      <c r="AQ23" s="1">
        <v>34189</v>
      </c>
      <c r="AR23" s="1">
        <v>37782</v>
      </c>
      <c r="AS23" s="1">
        <v>40581</v>
      </c>
      <c r="AT23" s="1">
        <v>41193</v>
      </c>
      <c r="AU23" s="1">
        <v>36897</v>
      </c>
      <c r="AV23" s="1">
        <v>40701</v>
      </c>
      <c r="AW23" s="1">
        <v>44329</v>
      </c>
      <c r="AX23" s="1">
        <v>45464</v>
      </c>
      <c r="AY23" s="1">
        <v>48404</v>
      </c>
      <c r="AZ23" s="1">
        <v>56339</v>
      </c>
    </row>
    <row r="24" spans="1:52" x14ac:dyDescent="0.3">
      <c r="A24" t="s">
        <v>23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>
        <v>3584</v>
      </c>
      <c r="X24" s="1">
        <v>4578</v>
      </c>
      <c r="Y24" s="1">
        <v>5281</v>
      </c>
      <c r="Z24" s="1">
        <v>5766</v>
      </c>
      <c r="AA24" s="1">
        <v>5568</v>
      </c>
      <c r="AB24" s="1">
        <v>5801</v>
      </c>
      <c r="AC24" s="1">
        <v>6728</v>
      </c>
      <c r="AD24" s="1">
        <v>8499</v>
      </c>
      <c r="AE24" s="1">
        <v>10157</v>
      </c>
      <c r="AF24" s="1">
        <v>11223</v>
      </c>
      <c r="AG24" s="1">
        <v>12865</v>
      </c>
      <c r="AH24" s="1">
        <v>15779</v>
      </c>
      <c r="AI24" s="1">
        <v>19113</v>
      </c>
      <c r="AJ24" s="1">
        <v>17614</v>
      </c>
      <c r="AK24" s="1">
        <v>17176</v>
      </c>
      <c r="AL24" s="1">
        <v>18644</v>
      </c>
      <c r="AM24" s="1">
        <v>17227</v>
      </c>
      <c r="AN24" s="1">
        <v>18179</v>
      </c>
      <c r="AO24" s="1">
        <v>18559</v>
      </c>
      <c r="AP24" s="1">
        <v>16404</v>
      </c>
      <c r="AQ24" s="1">
        <v>17117</v>
      </c>
      <c r="AR24" s="1">
        <v>18326</v>
      </c>
      <c r="AS24" s="1">
        <v>20484</v>
      </c>
      <c r="AT24" s="1">
        <v>20483</v>
      </c>
      <c r="AU24" s="1">
        <v>20226</v>
      </c>
      <c r="AV24" s="1">
        <v>23673</v>
      </c>
      <c r="AW24" s="1">
        <v>24535</v>
      </c>
      <c r="AX24" s="1">
        <v>27592</v>
      </c>
      <c r="AY24" s="1">
        <v>28795</v>
      </c>
      <c r="AZ24" s="1">
        <v>28807</v>
      </c>
    </row>
    <row r="25" spans="1:52" x14ac:dyDescent="0.3">
      <c r="A25" t="s">
        <v>24</v>
      </c>
      <c r="B25" s="1">
        <v>274</v>
      </c>
      <c r="C25" s="1">
        <v>297</v>
      </c>
      <c r="D25" s="1">
        <v>383</v>
      </c>
      <c r="E25" s="1">
        <v>456</v>
      </c>
      <c r="F25" s="1">
        <v>595</v>
      </c>
      <c r="G25" s="1">
        <v>1174</v>
      </c>
      <c r="H25" s="1">
        <v>1037</v>
      </c>
      <c r="I25" s="1">
        <v>1094</v>
      </c>
      <c r="J25" s="1">
        <v>1208</v>
      </c>
      <c r="K25" s="1">
        <v>1200</v>
      </c>
      <c r="L25" s="1">
        <v>1117</v>
      </c>
      <c r="M25" s="1">
        <v>1515</v>
      </c>
      <c r="N25" s="1">
        <v>2374</v>
      </c>
      <c r="O25" s="1">
        <v>3082</v>
      </c>
      <c r="P25" s="1">
        <v>3441</v>
      </c>
      <c r="Q25" s="1">
        <v>3799</v>
      </c>
      <c r="R25" s="1">
        <v>3802</v>
      </c>
      <c r="S25" s="1">
        <v>3928</v>
      </c>
      <c r="T25" s="1">
        <v>3957</v>
      </c>
      <c r="U25" s="1">
        <v>4258</v>
      </c>
      <c r="V25" s="1">
        <v>4805</v>
      </c>
      <c r="W25" s="1">
        <v>4926</v>
      </c>
      <c r="X25" s="1">
        <v>5011</v>
      </c>
      <c r="Y25" s="1">
        <v>4808</v>
      </c>
      <c r="Z25" s="1">
        <v>5413</v>
      </c>
      <c r="AA25" s="1">
        <v>5682</v>
      </c>
      <c r="AB25" s="1">
        <v>5460</v>
      </c>
      <c r="AC25" s="1">
        <v>5395</v>
      </c>
      <c r="AD25" s="1">
        <v>7469</v>
      </c>
      <c r="AE25" s="1">
        <v>8819</v>
      </c>
      <c r="AF25" s="1">
        <v>9833</v>
      </c>
      <c r="AG25" s="1">
        <v>9919</v>
      </c>
      <c r="AH25" s="1">
        <v>10566</v>
      </c>
      <c r="AI25" s="1">
        <v>10731</v>
      </c>
      <c r="AJ25" s="1">
        <v>10118</v>
      </c>
      <c r="AK25" s="1">
        <v>12637</v>
      </c>
      <c r="AL25" s="1">
        <v>15111</v>
      </c>
      <c r="AM25" s="1">
        <v>13907</v>
      </c>
      <c r="AN25" s="1">
        <v>14272</v>
      </c>
      <c r="AO25" s="1">
        <v>15470</v>
      </c>
      <c r="AP25" s="1">
        <v>13531</v>
      </c>
      <c r="AQ25" s="1">
        <v>15083</v>
      </c>
      <c r="AR25" s="1">
        <v>16105</v>
      </c>
      <c r="AS25" s="1">
        <v>17032</v>
      </c>
      <c r="AT25" s="1">
        <v>16696</v>
      </c>
      <c r="AU25" s="1">
        <v>14930</v>
      </c>
      <c r="AV25" s="1">
        <v>18750</v>
      </c>
      <c r="AW25" s="1">
        <v>20321</v>
      </c>
      <c r="AX25" s="1">
        <v>19411</v>
      </c>
      <c r="AY25" s="1">
        <v>19356</v>
      </c>
      <c r="AZ25" s="1">
        <v>19400</v>
      </c>
    </row>
    <row r="26" spans="1:52" x14ac:dyDescent="0.3">
      <c r="A26" t="s">
        <v>25</v>
      </c>
      <c r="B26" s="1">
        <v>108051</v>
      </c>
      <c r="C26" s="1">
        <v>127741</v>
      </c>
      <c r="D26" s="1">
        <v>148672</v>
      </c>
      <c r="E26" s="1">
        <v>168803</v>
      </c>
      <c r="F26" s="1">
        <v>186095</v>
      </c>
      <c r="G26" s="1">
        <v>145819</v>
      </c>
      <c r="H26" s="1">
        <v>167583</v>
      </c>
      <c r="I26" s="1">
        <v>179166</v>
      </c>
      <c r="J26" s="1">
        <v>143652</v>
      </c>
      <c r="K26" s="1">
        <v>142957</v>
      </c>
      <c r="L26" s="1">
        <v>226938</v>
      </c>
      <c r="M26" s="1">
        <v>263256</v>
      </c>
      <c r="N26" s="1">
        <v>286539</v>
      </c>
      <c r="O26" s="1">
        <v>320105</v>
      </c>
      <c r="P26" s="1">
        <v>439434</v>
      </c>
      <c r="Q26" s="1">
        <v>455335</v>
      </c>
      <c r="R26" s="1">
        <v>399249</v>
      </c>
      <c r="S26" s="1">
        <v>382465</v>
      </c>
      <c r="T26" s="1">
        <v>429184</v>
      </c>
      <c r="U26" s="1">
        <v>546764</v>
      </c>
      <c r="V26" s="1">
        <v>770860</v>
      </c>
      <c r="W26" s="1">
        <v>851146</v>
      </c>
      <c r="X26" s="1">
        <v>883862</v>
      </c>
      <c r="Y26" s="1">
        <v>864307</v>
      </c>
      <c r="Z26" s="1">
        <v>599642</v>
      </c>
      <c r="AA26" s="1">
        <v>655454</v>
      </c>
      <c r="AB26" s="1">
        <v>559982</v>
      </c>
      <c r="AC26" s="1">
        <v>509798</v>
      </c>
      <c r="AD26" s="1">
        <v>558232</v>
      </c>
      <c r="AE26" s="1">
        <v>669290</v>
      </c>
      <c r="AF26" s="1">
        <v>891633</v>
      </c>
      <c r="AG26" s="1">
        <v>1107628</v>
      </c>
      <c r="AH26" s="1">
        <v>1397114</v>
      </c>
      <c r="AI26" s="1">
        <v>1695855</v>
      </c>
      <c r="AJ26" s="1">
        <v>1669204</v>
      </c>
      <c r="AK26" s="1">
        <v>2208704</v>
      </c>
      <c r="AL26" s="1">
        <v>2614027</v>
      </c>
      <c r="AM26" s="1">
        <v>2464053</v>
      </c>
      <c r="AN26" s="1">
        <v>2471718</v>
      </c>
      <c r="AO26" s="1">
        <v>2456055</v>
      </c>
      <c r="AP26" s="1">
        <v>1800046</v>
      </c>
      <c r="AQ26" s="1">
        <v>1796622</v>
      </c>
      <c r="AR26" s="1">
        <v>2063519</v>
      </c>
      <c r="AS26" s="1">
        <v>1916934</v>
      </c>
      <c r="AT26" s="1">
        <v>1873286</v>
      </c>
      <c r="AU26" s="1">
        <v>1476092</v>
      </c>
      <c r="AV26" s="1">
        <v>1670650</v>
      </c>
      <c r="AW26" s="1">
        <v>1951849</v>
      </c>
      <c r="AX26" s="1">
        <v>2191137</v>
      </c>
      <c r="AY26" s="1">
        <v>2171337</v>
      </c>
      <c r="AZ26" s="1">
        <v>2125958</v>
      </c>
    </row>
    <row r="27" spans="1:52" x14ac:dyDescent="0.3">
      <c r="A27" t="s">
        <v>26</v>
      </c>
      <c r="B27" s="1">
        <v>1467</v>
      </c>
      <c r="C27" s="1">
        <v>1787</v>
      </c>
      <c r="D27" s="1">
        <v>2176</v>
      </c>
      <c r="E27" s="1">
        <v>2439</v>
      </c>
      <c r="F27" s="1">
        <v>3522</v>
      </c>
      <c r="G27" s="1"/>
      <c r="H27" s="1"/>
      <c r="I27" s="1"/>
      <c r="J27" s="1"/>
      <c r="K27" s="1"/>
      <c r="L27" s="1">
        <v>5470</v>
      </c>
      <c r="M27" s="1">
        <v>3727</v>
      </c>
      <c r="N27" s="1">
        <v>4384</v>
      </c>
      <c r="O27" s="1">
        <v>4177</v>
      </c>
      <c r="P27" s="1">
        <v>4652</v>
      </c>
      <c r="Q27" s="1">
        <v>5574</v>
      </c>
      <c r="R27" s="1">
        <v>5949</v>
      </c>
      <c r="S27" s="1">
        <v>6256</v>
      </c>
      <c r="T27" s="1">
        <v>6327</v>
      </c>
      <c r="U27" s="1">
        <v>6795</v>
      </c>
      <c r="V27" s="1">
        <v>8098</v>
      </c>
      <c r="W27" s="1">
        <v>8156</v>
      </c>
      <c r="X27" s="1">
        <v>7974</v>
      </c>
      <c r="Y27" s="1">
        <v>6061</v>
      </c>
      <c r="Z27" s="1">
        <v>6544</v>
      </c>
      <c r="AA27" s="1">
        <v>6650</v>
      </c>
      <c r="AB27" s="1">
        <v>6206</v>
      </c>
      <c r="AC27" s="1">
        <v>6475</v>
      </c>
      <c r="AD27" s="1">
        <v>7266</v>
      </c>
      <c r="AE27" s="1">
        <v>8723</v>
      </c>
      <c r="AF27" s="1">
        <v>10561</v>
      </c>
      <c r="AG27" s="1">
        <v>12710</v>
      </c>
      <c r="AH27" s="1">
        <v>13571</v>
      </c>
      <c r="AI27" s="1">
        <v>15949</v>
      </c>
      <c r="AJ27" s="1">
        <v>11892</v>
      </c>
      <c r="AK27" s="1">
        <v>13707</v>
      </c>
      <c r="AL27" s="1">
        <v>18525</v>
      </c>
      <c r="AM27" s="1">
        <v>19048</v>
      </c>
      <c r="AN27" s="1">
        <v>18094</v>
      </c>
      <c r="AO27" s="1">
        <v>17098</v>
      </c>
      <c r="AP27" s="1">
        <v>12930</v>
      </c>
      <c r="AQ27" s="1">
        <v>11400</v>
      </c>
      <c r="AR27" s="1">
        <v>12128</v>
      </c>
      <c r="AS27" s="1">
        <v>13567</v>
      </c>
      <c r="AT27" s="1">
        <v>13469</v>
      </c>
      <c r="AU27" s="1">
        <v>12006</v>
      </c>
      <c r="AV27" s="1">
        <v>14006</v>
      </c>
      <c r="AW27" s="1">
        <v>16682</v>
      </c>
      <c r="AX27" s="1">
        <v>15095</v>
      </c>
      <c r="AY27" s="1">
        <v>15463</v>
      </c>
      <c r="AZ27" s="1">
        <v>16007</v>
      </c>
    </row>
    <row r="28" spans="1:52" x14ac:dyDescent="0.3">
      <c r="A28" t="s">
        <v>27</v>
      </c>
      <c r="B28" s="1">
        <v>11908</v>
      </c>
      <c r="C28" s="1">
        <v>12625</v>
      </c>
      <c r="D28" s="1">
        <v>12908</v>
      </c>
      <c r="E28" s="1">
        <v>13982</v>
      </c>
      <c r="F28" s="1">
        <v>9408</v>
      </c>
      <c r="G28" s="1">
        <v>37751</v>
      </c>
      <c r="H28" s="1">
        <v>40718</v>
      </c>
      <c r="I28" s="1">
        <v>42467</v>
      </c>
      <c r="J28" s="1">
        <v>43641</v>
      </c>
      <c r="K28" s="1">
        <v>46358</v>
      </c>
      <c r="L28" s="1">
        <v>39692</v>
      </c>
      <c r="M28" s="1">
        <v>35130</v>
      </c>
      <c r="N28" s="1">
        <v>40721</v>
      </c>
      <c r="O28" s="1">
        <v>66546</v>
      </c>
      <c r="P28" s="1">
        <v>67774</v>
      </c>
      <c r="Q28" s="1">
        <v>29882</v>
      </c>
      <c r="R28" s="1">
        <v>2928</v>
      </c>
      <c r="S28" s="1">
        <v>11882</v>
      </c>
      <c r="T28" s="1">
        <v>6449</v>
      </c>
      <c r="U28" s="1">
        <v>11338</v>
      </c>
      <c r="V28" s="1">
        <v>18992</v>
      </c>
      <c r="W28" s="1">
        <v>12295</v>
      </c>
      <c r="X28" s="1">
        <v>11317</v>
      </c>
      <c r="Y28" s="1">
        <v>15031</v>
      </c>
      <c r="Z28" s="1">
        <v>13628</v>
      </c>
      <c r="AA28" s="1">
        <v>13246</v>
      </c>
      <c r="AB28" s="1">
        <v>14183</v>
      </c>
      <c r="AC28" s="1">
        <v>16403</v>
      </c>
      <c r="AD28" s="1">
        <v>21146</v>
      </c>
      <c r="AE28" s="1">
        <v>26158</v>
      </c>
      <c r="AF28" s="1">
        <v>29868</v>
      </c>
      <c r="AG28" s="1">
        <v>34380</v>
      </c>
      <c r="AH28" s="1">
        <v>44432</v>
      </c>
      <c r="AI28" s="1">
        <v>54476</v>
      </c>
      <c r="AJ28" s="1">
        <v>52024</v>
      </c>
      <c r="AK28" s="1">
        <v>50690</v>
      </c>
      <c r="AL28" s="1">
        <v>57682</v>
      </c>
      <c r="AM28" s="1">
        <v>54297</v>
      </c>
      <c r="AN28" s="1">
        <v>55820</v>
      </c>
      <c r="AO28" s="1">
        <v>57081</v>
      </c>
      <c r="AP28" s="1">
        <v>50766</v>
      </c>
      <c r="AQ28" s="1">
        <v>53929</v>
      </c>
      <c r="AR28" s="1">
        <v>59288</v>
      </c>
      <c r="AS28" s="1">
        <v>66318</v>
      </c>
      <c r="AT28" s="1">
        <v>68639</v>
      </c>
      <c r="AU28" s="1">
        <v>70658</v>
      </c>
      <c r="AV28" s="1">
        <v>84477</v>
      </c>
      <c r="AW28" s="1">
        <v>90719</v>
      </c>
      <c r="AX28" s="1">
        <v>102434</v>
      </c>
      <c r="AY28" s="1">
        <v>112232</v>
      </c>
      <c r="AZ28" s="1">
        <v>117007</v>
      </c>
    </row>
    <row r="29" spans="1:52" x14ac:dyDescent="0.3">
      <c r="A29" t="s">
        <v>28</v>
      </c>
      <c r="B29" s="1">
        <v>890</v>
      </c>
      <c r="C29" s="1">
        <v>853</v>
      </c>
      <c r="D29" s="1">
        <v>1031</v>
      </c>
      <c r="E29" s="1">
        <v>1328</v>
      </c>
      <c r="F29" s="1">
        <v>1782</v>
      </c>
      <c r="G29" s="1">
        <v>2386</v>
      </c>
      <c r="H29" s="1">
        <v>2076</v>
      </c>
      <c r="I29" s="1">
        <v>1934</v>
      </c>
      <c r="J29" s="1">
        <v>1767</v>
      </c>
      <c r="K29" s="1">
        <v>1579</v>
      </c>
      <c r="L29" s="1">
        <v>1746</v>
      </c>
      <c r="M29" s="1">
        <v>2290</v>
      </c>
      <c r="N29" s="1">
        <v>2665</v>
      </c>
      <c r="O29" s="1">
        <v>2942</v>
      </c>
      <c r="P29" s="1">
        <v>2942</v>
      </c>
      <c r="Q29" s="1">
        <v>3488</v>
      </c>
      <c r="R29" s="1">
        <v>3526</v>
      </c>
      <c r="S29" s="1">
        <v>3775</v>
      </c>
      <c r="T29" s="1">
        <v>3599</v>
      </c>
      <c r="U29" s="1">
        <v>2164</v>
      </c>
      <c r="V29" s="1">
        <v>2676</v>
      </c>
      <c r="W29" s="1">
        <v>2909</v>
      </c>
      <c r="X29" s="1">
        <v>2753</v>
      </c>
      <c r="Y29" s="1">
        <v>3155</v>
      </c>
      <c r="Z29" s="1">
        <v>3388</v>
      </c>
      <c r="AA29" s="1">
        <v>2961</v>
      </c>
      <c r="AB29" s="1">
        <v>3190</v>
      </c>
      <c r="AC29" s="1">
        <v>3620</v>
      </c>
      <c r="AD29" s="1">
        <v>4740</v>
      </c>
      <c r="AE29" s="1">
        <v>5449</v>
      </c>
      <c r="AF29" s="1">
        <v>6150</v>
      </c>
      <c r="AG29" s="1">
        <v>6548</v>
      </c>
      <c r="AH29" s="1">
        <v>7627</v>
      </c>
      <c r="AI29" s="1">
        <v>9450</v>
      </c>
      <c r="AJ29" s="1">
        <v>9440</v>
      </c>
      <c r="AK29" s="1">
        <v>10118</v>
      </c>
      <c r="AL29" s="1">
        <v>12078</v>
      </c>
      <c r="AM29" s="1">
        <v>12569</v>
      </c>
      <c r="AN29" s="1">
        <v>13444</v>
      </c>
      <c r="AO29" s="1">
        <v>13947</v>
      </c>
      <c r="AP29" s="1">
        <v>11833</v>
      </c>
      <c r="AQ29" s="1">
        <v>12829</v>
      </c>
      <c r="AR29" s="1">
        <v>14094</v>
      </c>
      <c r="AS29" s="1">
        <v>15916</v>
      </c>
      <c r="AT29" s="1">
        <v>16092</v>
      </c>
      <c r="AU29" s="1">
        <v>17837</v>
      </c>
      <c r="AV29" s="1">
        <v>19747</v>
      </c>
      <c r="AW29" s="1">
        <v>19588</v>
      </c>
      <c r="AX29" s="1">
        <v>21181</v>
      </c>
      <c r="AY29" s="1">
        <v>23975</v>
      </c>
      <c r="AZ29" s="1">
        <v>27056</v>
      </c>
    </row>
    <row r="30" spans="1:52" x14ac:dyDescent="0.3">
      <c r="A30" t="s">
        <v>29</v>
      </c>
      <c r="B30" s="1">
        <v>414</v>
      </c>
      <c r="C30" s="1">
        <v>456</v>
      </c>
      <c r="D30" s="1">
        <v>542</v>
      </c>
      <c r="E30" s="1">
        <v>612</v>
      </c>
      <c r="F30" s="1">
        <v>791</v>
      </c>
      <c r="G30" s="1">
        <v>951</v>
      </c>
      <c r="H30" s="1">
        <v>989</v>
      </c>
      <c r="I30" s="1">
        <v>1045</v>
      </c>
      <c r="J30" s="1">
        <v>1106</v>
      </c>
      <c r="K30" s="1">
        <v>1005</v>
      </c>
      <c r="L30" s="1">
        <v>1170</v>
      </c>
      <c r="M30" s="1">
        <v>1233</v>
      </c>
      <c r="N30" s="1">
        <v>1161</v>
      </c>
      <c r="O30" s="1">
        <v>1088</v>
      </c>
      <c r="P30" s="1">
        <v>1131</v>
      </c>
      <c r="Q30" s="1">
        <v>1131</v>
      </c>
      <c r="R30" s="1">
        <v>1167</v>
      </c>
      <c r="S30" s="1">
        <v>1082</v>
      </c>
      <c r="T30" s="1">
        <v>938</v>
      </c>
      <c r="U30" s="1">
        <v>924</v>
      </c>
      <c r="V30" s="1">
        <v>1000</v>
      </c>
      <c r="W30" s="1">
        <v>868</v>
      </c>
      <c r="X30" s="1">
        <v>972</v>
      </c>
      <c r="Y30" s="1">
        <v>893</v>
      </c>
      <c r="Z30" s="1">
        <v>866</v>
      </c>
      <c r="AA30" s="1">
        <v>870</v>
      </c>
      <c r="AB30" s="1">
        <v>877</v>
      </c>
      <c r="AC30" s="1">
        <v>825</v>
      </c>
      <c r="AD30" s="1">
        <v>785</v>
      </c>
      <c r="AE30" s="1">
        <v>915</v>
      </c>
      <c r="AF30" s="1">
        <v>1117</v>
      </c>
      <c r="AG30" s="1">
        <v>1273</v>
      </c>
      <c r="AH30" s="1">
        <v>1356</v>
      </c>
      <c r="AI30" s="1">
        <v>1612</v>
      </c>
      <c r="AJ30" s="1">
        <v>1775</v>
      </c>
      <c r="AK30" s="1">
        <v>2032</v>
      </c>
      <c r="AL30" s="1">
        <v>2236</v>
      </c>
      <c r="AM30" s="1">
        <v>2333</v>
      </c>
      <c r="AN30" s="1">
        <v>2456</v>
      </c>
      <c r="AO30" s="1">
        <v>2706</v>
      </c>
      <c r="AP30" s="1">
        <v>3104</v>
      </c>
      <c r="AQ30" s="1">
        <v>2960</v>
      </c>
      <c r="AR30" s="1">
        <v>3172</v>
      </c>
      <c r="AS30" s="1">
        <v>3037</v>
      </c>
      <c r="AT30" s="1">
        <v>3009</v>
      </c>
      <c r="AU30" s="1">
        <v>3089</v>
      </c>
      <c r="AV30" s="1">
        <v>3356</v>
      </c>
      <c r="AW30" s="1">
        <v>3922</v>
      </c>
      <c r="AX30" s="1">
        <v>4246</v>
      </c>
      <c r="AY30" s="1">
        <v>4743</v>
      </c>
      <c r="AZ30" s="1">
        <v>6745</v>
      </c>
    </row>
    <row r="31" spans="1:52" x14ac:dyDescent="0.3">
      <c r="A31" t="s">
        <v>30</v>
      </c>
      <c r="B31" s="1">
        <v>746</v>
      </c>
      <c r="C31" s="1">
        <v>799</v>
      </c>
      <c r="D31" s="1">
        <v>738</v>
      </c>
      <c r="E31" s="1">
        <v>806</v>
      </c>
      <c r="F31" s="1">
        <v>768</v>
      </c>
      <c r="G31" s="1"/>
      <c r="H31" s="1"/>
      <c r="I31" s="1"/>
      <c r="J31" s="1"/>
      <c r="K31" s="1"/>
      <c r="L31" s="1"/>
      <c r="M31" s="1">
        <v>205</v>
      </c>
      <c r="N31" s="1">
        <v>141</v>
      </c>
      <c r="O31" s="1">
        <v>276</v>
      </c>
      <c r="P31" s="1">
        <v>346</v>
      </c>
      <c r="Q31" s="1">
        <v>898</v>
      </c>
      <c r="R31" s="1">
        <v>2007</v>
      </c>
      <c r="S31" s="1">
        <v>2435</v>
      </c>
      <c r="T31" s="1">
        <v>2422</v>
      </c>
      <c r="U31" s="1">
        <v>2760</v>
      </c>
      <c r="V31" s="1">
        <v>3430</v>
      </c>
      <c r="W31" s="1">
        <v>3509</v>
      </c>
      <c r="X31" s="1">
        <v>3462</v>
      </c>
      <c r="Y31" s="1">
        <v>3132</v>
      </c>
      <c r="Z31" s="1">
        <v>3522</v>
      </c>
      <c r="AA31" s="1">
        <v>3707</v>
      </c>
      <c r="AB31" s="1">
        <v>4154</v>
      </c>
      <c r="AC31" s="1">
        <v>4507</v>
      </c>
      <c r="AD31" s="1">
        <v>5054</v>
      </c>
      <c r="AE31" s="1">
        <v>5879</v>
      </c>
      <c r="AF31" s="1">
        <v>7058</v>
      </c>
      <c r="AG31" s="1">
        <v>8342</v>
      </c>
      <c r="AH31" s="1">
        <v>10117</v>
      </c>
      <c r="AI31" s="1">
        <v>12162</v>
      </c>
      <c r="AJ31" s="1">
        <v>12490</v>
      </c>
      <c r="AK31" s="1">
        <v>13796</v>
      </c>
      <c r="AL31" s="1">
        <v>16017</v>
      </c>
      <c r="AM31" s="1">
        <v>17829</v>
      </c>
      <c r="AN31" s="1">
        <v>19806</v>
      </c>
      <c r="AO31" s="1">
        <v>22040</v>
      </c>
      <c r="AP31" s="1">
        <v>24217</v>
      </c>
      <c r="AQ31" s="1">
        <v>26591</v>
      </c>
      <c r="AR31" s="1">
        <v>29394</v>
      </c>
      <c r="AS31" s="1">
        <v>33181</v>
      </c>
      <c r="AT31" s="1">
        <v>36682</v>
      </c>
      <c r="AU31" s="1">
        <v>34898</v>
      </c>
      <c r="AV31" s="1">
        <v>36797</v>
      </c>
      <c r="AW31" s="1">
        <v>39838</v>
      </c>
      <c r="AX31" s="1">
        <v>43304</v>
      </c>
      <c r="AY31" s="1">
        <v>47328</v>
      </c>
      <c r="AZ31" s="1">
        <v>49799</v>
      </c>
    </row>
    <row r="32" spans="1:52" x14ac:dyDescent="0.3">
      <c r="A32" t="s">
        <v>31</v>
      </c>
      <c r="B32" s="1">
        <v>3187</v>
      </c>
      <c r="C32" s="1">
        <v>3473</v>
      </c>
      <c r="D32" s="1">
        <v>4062</v>
      </c>
      <c r="E32" s="1">
        <v>5347</v>
      </c>
      <c r="F32" s="1">
        <v>7116</v>
      </c>
      <c r="G32" s="1">
        <v>8850</v>
      </c>
      <c r="H32" s="1">
        <v>10026</v>
      </c>
      <c r="I32" s="1">
        <v>9616</v>
      </c>
      <c r="J32" s="1">
        <v>9692</v>
      </c>
      <c r="K32" s="1">
        <v>10243</v>
      </c>
      <c r="L32" s="1">
        <v>10698</v>
      </c>
      <c r="M32" s="1">
        <v>13945</v>
      </c>
      <c r="N32" s="1">
        <v>16152</v>
      </c>
      <c r="O32" s="1">
        <v>16403</v>
      </c>
      <c r="P32" s="1">
        <v>14626</v>
      </c>
      <c r="Q32" s="1">
        <v>14641</v>
      </c>
      <c r="R32" s="1">
        <v>16325</v>
      </c>
      <c r="S32" s="1">
        <v>14963</v>
      </c>
      <c r="T32" s="1">
        <v>15611</v>
      </c>
      <c r="U32" s="1">
        <v>10622</v>
      </c>
      <c r="V32" s="1">
        <v>10075</v>
      </c>
      <c r="W32" s="1">
        <v>11227</v>
      </c>
      <c r="X32" s="1">
        <v>11352</v>
      </c>
      <c r="Y32" s="1">
        <v>11338</v>
      </c>
      <c r="Z32" s="1">
        <v>11553</v>
      </c>
      <c r="AA32" s="1">
        <v>10245</v>
      </c>
      <c r="AB32" s="1">
        <v>10950</v>
      </c>
      <c r="AC32" s="1">
        <v>12369</v>
      </c>
      <c r="AD32" s="1">
        <v>15944</v>
      </c>
      <c r="AE32" s="1">
        <v>18803</v>
      </c>
      <c r="AF32" s="1">
        <v>19534</v>
      </c>
      <c r="AG32" s="1">
        <v>20912</v>
      </c>
      <c r="AH32" s="1">
        <v>23931</v>
      </c>
      <c r="AI32" s="1">
        <v>27712</v>
      </c>
      <c r="AJ32" s="1">
        <v>27903</v>
      </c>
      <c r="AK32" s="1">
        <v>27530</v>
      </c>
      <c r="AL32" s="1">
        <v>30626</v>
      </c>
      <c r="AM32" s="1">
        <v>30174</v>
      </c>
      <c r="AN32" s="1">
        <v>33729</v>
      </c>
      <c r="AO32" s="1">
        <v>36396</v>
      </c>
      <c r="AP32" s="1">
        <v>32213</v>
      </c>
      <c r="AQ32" s="1">
        <v>33805</v>
      </c>
      <c r="AR32" s="1">
        <v>36086</v>
      </c>
      <c r="AS32" s="1">
        <v>39992</v>
      </c>
      <c r="AT32" s="1">
        <v>39673</v>
      </c>
      <c r="AU32" s="1">
        <v>40863</v>
      </c>
      <c r="AV32" s="1">
        <v>45036</v>
      </c>
      <c r="AW32" s="1">
        <v>44442</v>
      </c>
      <c r="AX32" s="1">
        <v>49283</v>
      </c>
      <c r="AY32" s="1">
        <v>52784</v>
      </c>
      <c r="AZ32" s="1">
        <v>56011</v>
      </c>
    </row>
    <row r="33" spans="1:52" x14ac:dyDescent="0.3">
      <c r="A33" t="s">
        <v>32</v>
      </c>
      <c r="B33" s="1">
        <v>170692</v>
      </c>
      <c r="C33" s="1">
        <v>202829</v>
      </c>
      <c r="D33" s="1">
        <v>207789</v>
      </c>
      <c r="E33" s="1">
        <v>214677</v>
      </c>
      <c r="F33" s="1">
        <v>238664</v>
      </c>
      <c r="G33" s="1">
        <v>276064</v>
      </c>
      <c r="H33" s="1">
        <v>307246</v>
      </c>
      <c r="I33" s="1">
        <v>314639</v>
      </c>
      <c r="J33" s="1">
        <v>341863</v>
      </c>
      <c r="K33" s="1">
        <v>356728</v>
      </c>
      <c r="L33" s="1">
        <v>366184</v>
      </c>
      <c r="M33" s="1">
        <v>379015</v>
      </c>
      <c r="N33" s="1">
        <v>433140</v>
      </c>
      <c r="O33" s="1">
        <v>509380</v>
      </c>
      <c r="P33" s="1">
        <v>567225</v>
      </c>
      <c r="Q33" s="1">
        <v>596089</v>
      </c>
      <c r="R33" s="1">
        <v>612514</v>
      </c>
      <c r="S33" s="1">
        <v>594376</v>
      </c>
      <c r="T33" s="1">
        <v>579059</v>
      </c>
      <c r="U33" s="1">
        <v>579913</v>
      </c>
      <c r="V33" s="1">
        <v>605941</v>
      </c>
      <c r="W33" s="1">
        <v>630598</v>
      </c>
      <c r="X33" s="1">
        <v>655010</v>
      </c>
      <c r="Y33" s="1">
        <v>634004</v>
      </c>
      <c r="Z33" s="1">
        <v>678417</v>
      </c>
      <c r="AA33" s="1">
        <v>744631</v>
      </c>
      <c r="AB33" s="1">
        <v>738968</v>
      </c>
      <c r="AC33" s="1">
        <v>760149</v>
      </c>
      <c r="AD33" s="1">
        <v>895599</v>
      </c>
      <c r="AE33" s="1">
        <v>1026473</v>
      </c>
      <c r="AF33" s="1">
        <v>1173505</v>
      </c>
      <c r="AG33" s="1">
        <v>1319356</v>
      </c>
      <c r="AH33" s="1">
        <v>1468896</v>
      </c>
      <c r="AI33" s="1">
        <v>1552864</v>
      </c>
      <c r="AJ33" s="1">
        <v>1376509</v>
      </c>
      <c r="AK33" s="1">
        <v>1617345</v>
      </c>
      <c r="AL33" s="1">
        <v>1793327</v>
      </c>
      <c r="AM33" s="1">
        <v>1828362</v>
      </c>
      <c r="AN33" s="1">
        <v>1846595</v>
      </c>
      <c r="AO33" s="1">
        <v>1805751</v>
      </c>
      <c r="AP33" s="1">
        <v>1556508</v>
      </c>
      <c r="AQ33" s="1">
        <v>1527996</v>
      </c>
      <c r="AR33" s="1">
        <v>1649266</v>
      </c>
      <c r="AS33" s="1">
        <v>1725300</v>
      </c>
      <c r="AT33" s="1">
        <v>1743725</v>
      </c>
      <c r="AU33" s="1">
        <v>1655685</v>
      </c>
      <c r="AV33" s="1">
        <v>2022382</v>
      </c>
      <c r="AW33" s="1">
        <v>2190411</v>
      </c>
      <c r="AX33" s="1">
        <v>2173340</v>
      </c>
      <c r="AY33" s="1">
        <v>2241253</v>
      </c>
      <c r="AZ33" s="1">
        <v>2225341</v>
      </c>
    </row>
    <row r="34" spans="1:52" x14ac:dyDescent="0.3">
      <c r="A34" t="s">
        <v>33</v>
      </c>
      <c r="B34" s="1">
        <v>118</v>
      </c>
      <c r="C34" s="1">
        <v>110</v>
      </c>
      <c r="D34" s="1">
        <v>103</v>
      </c>
      <c r="E34" s="1">
        <v>119</v>
      </c>
      <c r="F34" s="1">
        <v>127</v>
      </c>
      <c r="G34" s="1">
        <v>157</v>
      </c>
      <c r="H34" s="1">
        <v>187</v>
      </c>
      <c r="I34" s="1">
        <v>149</v>
      </c>
      <c r="J34" s="1">
        <v>144</v>
      </c>
      <c r="K34" s="1">
        <v>146</v>
      </c>
      <c r="L34" s="1">
        <v>164</v>
      </c>
      <c r="M34" s="1">
        <v>212</v>
      </c>
      <c r="N34" s="1">
        <v>264</v>
      </c>
      <c r="O34" s="1">
        <v>322</v>
      </c>
      <c r="P34" s="1">
        <v>332</v>
      </c>
      <c r="Q34" s="1">
        <v>413</v>
      </c>
      <c r="R34" s="1">
        <v>443</v>
      </c>
      <c r="S34" s="1">
        <v>479</v>
      </c>
      <c r="T34" s="1">
        <v>431</v>
      </c>
      <c r="U34" s="1">
        <v>450</v>
      </c>
      <c r="V34" s="1">
        <v>570</v>
      </c>
      <c r="W34" s="1">
        <v>611</v>
      </c>
      <c r="X34" s="1">
        <v>609</v>
      </c>
      <c r="Y34" s="1">
        <v>648</v>
      </c>
      <c r="Z34" s="1">
        <v>693</v>
      </c>
      <c r="AA34" s="1">
        <v>699</v>
      </c>
      <c r="AB34" s="1">
        <v>791</v>
      </c>
      <c r="AC34" s="1">
        <v>867</v>
      </c>
      <c r="AD34" s="1">
        <v>1105</v>
      </c>
      <c r="AE34" s="1">
        <v>1263</v>
      </c>
      <c r="AF34" s="1">
        <v>1395</v>
      </c>
      <c r="AG34" s="1">
        <v>1452</v>
      </c>
      <c r="AH34" s="1">
        <v>1650</v>
      </c>
      <c r="AI34" s="1">
        <v>1960</v>
      </c>
      <c r="AJ34" s="1">
        <v>1852</v>
      </c>
      <c r="AK34" s="1">
        <v>1825</v>
      </c>
      <c r="AL34" s="1">
        <v>2047</v>
      </c>
      <c r="AM34" s="1">
        <v>1913</v>
      </c>
      <c r="AN34" s="1">
        <v>2029</v>
      </c>
      <c r="AO34" s="1">
        <v>2042</v>
      </c>
      <c r="AP34" s="1">
        <v>1750</v>
      </c>
      <c r="AQ34" s="1">
        <v>1850</v>
      </c>
      <c r="AR34" s="1">
        <v>1997</v>
      </c>
      <c r="AS34" s="1">
        <v>2205</v>
      </c>
      <c r="AT34" s="1">
        <v>2251</v>
      </c>
      <c r="AU34" s="1">
        <v>1831</v>
      </c>
      <c r="AV34" s="1">
        <v>2053</v>
      </c>
      <c r="AW34" s="1">
        <v>2309</v>
      </c>
      <c r="AX34" s="1">
        <v>2588</v>
      </c>
      <c r="AY34" s="1">
        <v>2726</v>
      </c>
      <c r="AZ34" s="1">
        <v>2786</v>
      </c>
    </row>
    <row r="35" spans="1:52" x14ac:dyDescent="0.3">
      <c r="A35" t="s">
        <v>34</v>
      </c>
      <c r="B35" s="1">
        <v>528</v>
      </c>
      <c r="C35" s="1">
        <v>629</v>
      </c>
      <c r="D35" s="1">
        <v>708</v>
      </c>
      <c r="E35" s="1">
        <v>852</v>
      </c>
      <c r="F35" s="1">
        <v>977</v>
      </c>
      <c r="G35" s="1">
        <v>714</v>
      </c>
      <c r="H35" s="1">
        <v>743</v>
      </c>
      <c r="I35" s="1">
        <v>719</v>
      </c>
      <c r="J35" s="1">
        <v>690</v>
      </c>
      <c r="K35" s="1">
        <v>670</v>
      </c>
      <c r="L35" s="1">
        <v>883</v>
      </c>
      <c r="M35" s="1">
        <v>1158</v>
      </c>
      <c r="N35" s="1">
        <v>1275</v>
      </c>
      <c r="O35" s="1">
        <v>1372</v>
      </c>
      <c r="P35" s="1">
        <v>1354</v>
      </c>
      <c r="Q35" s="1">
        <v>1572</v>
      </c>
      <c r="R35" s="1">
        <v>1498</v>
      </c>
      <c r="S35" s="1">
        <v>1494</v>
      </c>
      <c r="T35" s="1">
        <v>1309</v>
      </c>
      <c r="U35" s="1">
        <v>858</v>
      </c>
      <c r="V35" s="1">
        <v>1117</v>
      </c>
      <c r="W35" s="1">
        <v>1000</v>
      </c>
      <c r="X35" s="1">
        <v>979</v>
      </c>
      <c r="Y35" s="1">
        <v>1036</v>
      </c>
      <c r="Z35" s="1">
        <v>1039</v>
      </c>
      <c r="AA35" s="1">
        <v>868</v>
      </c>
      <c r="AB35" s="1">
        <v>899</v>
      </c>
      <c r="AC35" s="1">
        <v>983</v>
      </c>
      <c r="AD35" s="1">
        <v>1188</v>
      </c>
      <c r="AE35" s="1">
        <v>1310</v>
      </c>
      <c r="AF35" s="1">
        <v>1413</v>
      </c>
      <c r="AG35" s="1">
        <v>1538</v>
      </c>
      <c r="AH35" s="1">
        <v>1755</v>
      </c>
      <c r="AI35" s="1">
        <v>2033</v>
      </c>
      <c r="AJ35" s="1">
        <v>2059</v>
      </c>
      <c r="AK35" s="1">
        <v>2141</v>
      </c>
      <c r="AL35" s="1">
        <v>2435</v>
      </c>
      <c r="AM35" s="1">
        <v>2512</v>
      </c>
      <c r="AN35" s="1">
        <v>1692</v>
      </c>
      <c r="AO35" s="1">
        <v>1896</v>
      </c>
      <c r="AP35" s="1">
        <v>1696</v>
      </c>
      <c r="AQ35" s="1">
        <v>1825</v>
      </c>
      <c r="AR35" s="1">
        <v>2072</v>
      </c>
      <c r="AS35" s="1">
        <v>2280</v>
      </c>
      <c r="AT35" s="1">
        <v>2279</v>
      </c>
      <c r="AU35" s="1">
        <v>2389</v>
      </c>
      <c r="AV35" s="1">
        <v>2585</v>
      </c>
      <c r="AW35" s="1">
        <v>2460</v>
      </c>
      <c r="AX35" s="1">
        <v>2602</v>
      </c>
      <c r="AY35" s="1">
        <v>2831</v>
      </c>
      <c r="AZ35" s="1">
        <v>2932</v>
      </c>
    </row>
    <row r="36" spans="1:52" x14ac:dyDescent="0.3">
      <c r="A36" t="s">
        <v>35</v>
      </c>
      <c r="B36" s="1">
        <v>876</v>
      </c>
      <c r="C36" s="1">
        <v>823</v>
      </c>
      <c r="D36" s="1">
        <v>832</v>
      </c>
      <c r="E36" s="1">
        <v>991</v>
      </c>
      <c r="F36" s="1">
        <v>894</v>
      </c>
      <c r="G36" s="1">
        <v>958</v>
      </c>
      <c r="H36" s="1">
        <v>1133</v>
      </c>
      <c r="I36" s="1">
        <v>1095</v>
      </c>
      <c r="J36" s="1">
        <v>1096</v>
      </c>
      <c r="K36" s="1">
        <v>1177</v>
      </c>
      <c r="L36" s="1">
        <v>1275</v>
      </c>
      <c r="M36" s="1">
        <v>1570</v>
      </c>
      <c r="N36" s="1">
        <v>1780</v>
      </c>
      <c r="O36" s="1">
        <v>2081</v>
      </c>
      <c r="P36" s="1">
        <v>1966</v>
      </c>
      <c r="Q36" s="1">
        <v>2369</v>
      </c>
      <c r="R36" s="1">
        <v>2347</v>
      </c>
      <c r="S36" s="1">
        <v>2446</v>
      </c>
      <c r="T36" s="1">
        <v>2138</v>
      </c>
      <c r="U36" s="1">
        <v>1732</v>
      </c>
      <c r="V36" s="1">
        <v>2123</v>
      </c>
      <c r="W36" s="1">
        <v>2360</v>
      </c>
      <c r="X36" s="1">
        <v>2268</v>
      </c>
      <c r="Y36" s="1">
        <v>2561</v>
      </c>
      <c r="Z36" s="1">
        <v>2256</v>
      </c>
      <c r="AA36" s="1">
        <v>2039</v>
      </c>
      <c r="AB36" s="1">
        <v>2512</v>
      </c>
      <c r="AC36" s="1">
        <v>2928</v>
      </c>
      <c r="AD36" s="1">
        <v>4025</v>
      </c>
      <c r="AE36" s="1">
        <v>6490</v>
      </c>
      <c r="AF36" s="1">
        <v>8660</v>
      </c>
      <c r="AG36" s="1">
        <v>9710</v>
      </c>
      <c r="AH36" s="1">
        <v>10867</v>
      </c>
      <c r="AI36" s="1">
        <v>13384</v>
      </c>
      <c r="AJ36" s="1">
        <v>12304</v>
      </c>
      <c r="AK36" s="1">
        <v>14070</v>
      </c>
      <c r="AL36" s="1">
        <v>16682</v>
      </c>
      <c r="AM36" s="1">
        <v>17904</v>
      </c>
      <c r="AN36" s="1">
        <v>17866</v>
      </c>
      <c r="AO36" s="1">
        <v>18149</v>
      </c>
      <c r="AP36" s="1">
        <v>14561</v>
      </c>
      <c r="AQ36" s="1">
        <v>13023</v>
      </c>
      <c r="AR36" s="1">
        <v>13344</v>
      </c>
      <c r="AS36" s="1">
        <v>15334</v>
      </c>
      <c r="AT36" s="1">
        <v>14906</v>
      </c>
      <c r="AU36" s="1">
        <v>14954</v>
      </c>
      <c r="AV36" s="1">
        <v>16881</v>
      </c>
      <c r="AW36" s="1">
        <v>17867</v>
      </c>
      <c r="AX36" s="1">
        <v>18343</v>
      </c>
      <c r="AY36" s="1">
        <v>19078</v>
      </c>
      <c r="AZ36" s="1">
        <v>18792</v>
      </c>
    </row>
    <row r="37" spans="1:52" x14ac:dyDescent="0.3">
      <c r="A37" t="s">
        <v>36</v>
      </c>
      <c r="B37" s="1">
        <v>7941</v>
      </c>
      <c r="C37" s="1">
        <v>10843</v>
      </c>
      <c r="D37" s="1">
        <v>14699</v>
      </c>
      <c r="E37" s="1">
        <v>16940</v>
      </c>
      <c r="F37" s="1">
        <v>22806</v>
      </c>
      <c r="G37" s="1">
        <v>29032</v>
      </c>
      <c r="H37" s="1">
        <v>34374</v>
      </c>
      <c r="I37" s="1">
        <v>25630</v>
      </c>
      <c r="J37" s="1">
        <v>20819</v>
      </c>
      <c r="K37" s="1">
        <v>20246</v>
      </c>
      <c r="L37" s="1">
        <v>17360</v>
      </c>
      <c r="M37" s="1">
        <v>18662</v>
      </c>
      <c r="N37" s="1">
        <v>22010</v>
      </c>
      <c r="O37" s="1">
        <v>25947</v>
      </c>
      <c r="P37" s="1">
        <v>29889</v>
      </c>
      <c r="Q37" s="1">
        <v>33231</v>
      </c>
      <c r="R37" s="1">
        <v>38249</v>
      </c>
      <c r="S37" s="1">
        <v>46597</v>
      </c>
      <c r="T37" s="1">
        <v>49855</v>
      </c>
      <c r="U37" s="1">
        <v>57517</v>
      </c>
      <c r="V37" s="1">
        <v>74119</v>
      </c>
      <c r="W37" s="1">
        <v>78575</v>
      </c>
      <c r="X37" s="1">
        <v>85730</v>
      </c>
      <c r="Y37" s="1">
        <v>81996</v>
      </c>
      <c r="Z37" s="1">
        <v>75596</v>
      </c>
      <c r="AA37" s="1">
        <v>78250</v>
      </c>
      <c r="AB37" s="1">
        <v>71517</v>
      </c>
      <c r="AC37" s="1">
        <v>70295</v>
      </c>
      <c r="AD37" s="1">
        <v>76508</v>
      </c>
      <c r="AE37" s="1">
        <v>99079</v>
      </c>
      <c r="AF37" s="1">
        <v>122315</v>
      </c>
      <c r="AG37" s="1">
        <v>153840</v>
      </c>
      <c r="AH37" s="1">
        <v>172565</v>
      </c>
      <c r="AI37" s="1">
        <v>179663</v>
      </c>
      <c r="AJ37" s="1">
        <v>171794</v>
      </c>
      <c r="AK37" s="1">
        <v>217105</v>
      </c>
      <c r="AL37" s="1">
        <v>251225</v>
      </c>
      <c r="AM37" s="1">
        <v>267165</v>
      </c>
      <c r="AN37" s="1">
        <v>277218</v>
      </c>
      <c r="AO37" s="1">
        <v>259394</v>
      </c>
      <c r="AP37" s="1">
        <v>242515</v>
      </c>
      <c r="AQ37" s="1">
        <v>249306</v>
      </c>
      <c r="AR37" s="1">
        <v>276357</v>
      </c>
      <c r="AS37" s="1">
        <v>295428</v>
      </c>
      <c r="AT37" s="1">
        <v>278040</v>
      </c>
      <c r="AU37" s="1">
        <v>254060</v>
      </c>
      <c r="AV37" s="1">
        <v>315411</v>
      </c>
      <c r="AW37" s="1">
        <v>301270</v>
      </c>
      <c r="AX37" s="1">
        <v>335627</v>
      </c>
      <c r="AY37" s="1">
        <v>330210</v>
      </c>
      <c r="AZ37" s="1">
        <v>343823</v>
      </c>
    </row>
    <row r="38" spans="1:52" x14ac:dyDescent="0.3">
      <c r="A38" t="s">
        <v>37</v>
      </c>
      <c r="B38" s="1">
        <v>160340</v>
      </c>
      <c r="C38" s="1">
        <v>150854</v>
      </c>
      <c r="D38" s="1">
        <v>171467</v>
      </c>
      <c r="E38" s="1">
        <v>214160</v>
      </c>
      <c r="F38" s="1">
        <v>263190</v>
      </c>
      <c r="G38" s="1">
        <v>303550</v>
      </c>
      <c r="H38" s="1">
        <v>289215</v>
      </c>
      <c r="I38" s="1">
        <v>285139</v>
      </c>
      <c r="J38" s="1">
        <v>306013</v>
      </c>
      <c r="K38" s="1">
        <v>314832</v>
      </c>
      <c r="L38" s="1">
        <v>310709</v>
      </c>
      <c r="M38" s="1">
        <v>301471</v>
      </c>
      <c r="N38" s="1">
        <v>328305</v>
      </c>
      <c r="O38" s="1">
        <v>409363</v>
      </c>
      <c r="P38" s="1">
        <v>458985</v>
      </c>
      <c r="Q38" s="1">
        <v>397359</v>
      </c>
      <c r="R38" s="1">
        <v>415946</v>
      </c>
      <c r="S38" s="1">
        <v>495515</v>
      </c>
      <c r="T38" s="1">
        <v>621918</v>
      </c>
      <c r="U38" s="1">
        <v>566297</v>
      </c>
      <c r="V38" s="1">
        <v>737654</v>
      </c>
      <c r="W38" s="1">
        <v>868770</v>
      </c>
      <c r="X38" s="1">
        <v>967886</v>
      </c>
      <c r="Y38" s="1">
        <v>1035510</v>
      </c>
      <c r="Z38" s="1">
        <v>1101134</v>
      </c>
      <c r="AA38" s="1">
        <v>1220337</v>
      </c>
      <c r="AB38" s="1">
        <v>1351372</v>
      </c>
      <c r="AC38" s="1">
        <v>1486618</v>
      </c>
      <c r="AD38" s="1">
        <v>1680942</v>
      </c>
      <c r="AE38" s="1">
        <v>1978937</v>
      </c>
      <c r="AF38" s="1">
        <v>2325515</v>
      </c>
      <c r="AG38" s="1">
        <v>2797286</v>
      </c>
      <c r="AH38" s="1">
        <v>3612210</v>
      </c>
      <c r="AI38" s="1">
        <v>4653314</v>
      </c>
      <c r="AJ38" s="1">
        <v>5176180</v>
      </c>
      <c r="AK38" s="1">
        <v>6138992</v>
      </c>
      <c r="AL38" s="1">
        <v>7624861</v>
      </c>
      <c r="AM38" s="1">
        <v>8682939</v>
      </c>
      <c r="AN38" s="1">
        <v>9782784</v>
      </c>
      <c r="AO38" s="1">
        <v>10701415</v>
      </c>
      <c r="AP38" s="1">
        <v>11307226</v>
      </c>
      <c r="AQ38" s="1">
        <v>11448003</v>
      </c>
      <c r="AR38" s="1">
        <v>12503299</v>
      </c>
      <c r="AS38" s="1">
        <v>14110963</v>
      </c>
      <c r="AT38" s="1">
        <v>14572410</v>
      </c>
      <c r="AU38" s="1">
        <v>15103357</v>
      </c>
      <c r="AV38" s="1">
        <v>18190803</v>
      </c>
      <c r="AW38" s="1">
        <v>18307816</v>
      </c>
      <c r="AX38" s="1">
        <v>18270351</v>
      </c>
      <c r="AY38" s="1">
        <v>18748009</v>
      </c>
      <c r="AZ38" s="1">
        <v>19231705</v>
      </c>
    </row>
    <row r="39" spans="1:52" x14ac:dyDescent="0.3">
      <c r="A39" t="s">
        <v>38</v>
      </c>
      <c r="B39" s="1">
        <v>18508</v>
      </c>
      <c r="C39" s="1">
        <v>21674</v>
      </c>
      <c r="D39" s="1">
        <v>27519</v>
      </c>
      <c r="E39" s="1">
        <v>32864</v>
      </c>
      <c r="F39" s="1">
        <v>39497</v>
      </c>
      <c r="G39" s="1">
        <v>46501</v>
      </c>
      <c r="H39" s="1">
        <v>50661</v>
      </c>
      <c r="I39" s="1">
        <v>54252</v>
      </c>
      <c r="J39" s="1">
        <v>53920</v>
      </c>
      <c r="K39" s="1">
        <v>53257</v>
      </c>
      <c r="L39" s="1">
        <v>48581</v>
      </c>
      <c r="M39" s="1">
        <v>48648</v>
      </c>
      <c r="N39" s="1">
        <v>50640</v>
      </c>
      <c r="O39" s="1">
        <v>54592</v>
      </c>
      <c r="P39" s="1">
        <v>55048</v>
      </c>
      <c r="Q39" s="1">
        <v>56071</v>
      </c>
      <c r="R39" s="1">
        <v>57954</v>
      </c>
      <c r="S39" s="1">
        <v>68579</v>
      </c>
      <c r="T39" s="1">
        <v>77721</v>
      </c>
      <c r="U39" s="1">
        <v>97665</v>
      </c>
      <c r="V39" s="1">
        <v>110564</v>
      </c>
      <c r="W39" s="1">
        <v>116130</v>
      </c>
      <c r="X39" s="1">
        <v>127490</v>
      </c>
      <c r="Y39" s="1">
        <v>117725</v>
      </c>
      <c r="Z39" s="1">
        <v>103132</v>
      </c>
      <c r="AA39" s="1">
        <v>99270</v>
      </c>
      <c r="AB39" s="1">
        <v>97606</v>
      </c>
      <c r="AC39" s="1">
        <v>97353</v>
      </c>
      <c r="AD39" s="1">
        <v>94072</v>
      </c>
      <c r="AE39" s="1">
        <v>116382</v>
      </c>
      <c r="AF39" s="1">
        <v>145600</v>
      </c>
      <c r="AG39" s="1">
        <v>161793</v>
      </c>
      <c r="AH39" s="1">
        <v>206230</v>
      </c>
      <c r="AI39" s="1">
        <v>242504</v>
      </c>
      <c r="AJ39" s="1">
        <v>232469</v>
      </c>
      <c r="AK39" s="1">
        <v>286499</v>
      </c>
      <c r="AL39" s="1">
        <v>334966</v>
      </c>
      <c r="AM39" s="1">
        <v>370692</v>
      </c>
      <c r="AN39" s="1">
        <v>382094</v>
      </c>
      <c r="AO39" s="1">
        <v>381241</v>
      </c>
      <c r="AP39" s="1">
        <v>293493</v>
      </c>
      <c r="AQ39" s="1">
        <v>282720</v>
      </c>
      <c r="AR39" s="1">
        <v>311890</v>
      </c>
      <c r="AS39" s="1">
        <v>334124</v>
      </c>
      <c r="AT39" s="1">
        <v>323055</v>
      </c>
      <c r="AU39" s="1">
        <v>270348</v>
      </c>
      <c r="AV39" s="1">
        <v>318525</v>
      </c>
      <c r="AW39" s="1">
        <v>345632</v>
      </c>
      <c r="AX39" s="1">
        <v>366292</v>
      </c>
      <c r="AY39" s="1">
        <v>418542</v>
      </c>
      <c r="AZ39" s="1">
        <v>427766</v>
      </c>
    </row>
    <row r="40" spans="1:52" x14ac:dyDescent="0.3">
      <c r="A40" t="s">
        <v>39</v>
      </c>
      <c r="B40" s="1">
        <v>60</v>
      </c>
      <c r="C40" s="1">
        <v>59</v>
      </c>
      <c r="D40" s="1">
        <v>65</v>
      </c>
      <c r="E40" s="1">
        <v>85</v>
      </c>
      <c r="F40" s="1">
        <v>113</v>
      </c>
      <c r="G40" s="1">
        <v>243</v>
      </c>
      <c r="H40" s="1">
        <v>213</v>
      </c>
      <c r="I40" s="1">
        <v>202</v>
      </c>
      <c r="J40" s="1">
        <v>196</v>
      </c>
      <c r="K40" s="1">
        <v>189</v>
      </c>
      <c r="L40" s="1">
        <v>192</v>
      </c>
      <c r="M40" s="1">
        <v>258</v>
      </c>
      <c r="N40" s="1">
        <v>313</v>
      </c>
      <c r="O40" s="1">
        <v>336</v>
      </c>
      <c r="P40" s="1">
        <v>329</v>
      </c>
      <c r="Q40" s="1">
        <v>402</v>
      </c>
      <c r="R40" s="1">
        <v>401</v>
      </c>
      <c r="S40" s="1">
        <v>437</v>
      </c>
      <c r="T40" s="1">
        <v>428</v>
      </c>
      <c r="U40" s="1">
        <v>315</v>
      </c>
      <c r="V40" s="1">
        <v>393</v>
      </c>
      <c r="W40" s="1">
        <v>392</v>
      </c>
      <c r="X40" s="1">
        <v>363</v>
      </c>
      <c r="Y40" s="1">
        <v>364</v>
      </c>
      <c r="Z40" s="1">
        <v>372</v>
      </c>
      <c r="AA40" s="1">
        <v>340</v>
      </c>
      <c r="AB40" s="1">
        <v>373</v>
      </c>
      <c r="AC40" s="1">
        <v>427</v>
      </c>
      <c r="AD40" s="1">
        <v>547</v>
      </c>
      <c r="AE40" s="1">
        <v>622</v>
      </c>
      <c r="AF40" s="1">
        <v>656</v>
      </c>
      <c r="AG40" s="1">
        <v>689</v>
      </c>
      <c r="AH40" s="1">
        <v>796</v>
      </c>
      <c r="AI40" s="1">
        <v>916</v>
      </c>
      <c r="AJ40" s="1">
        <v>904</v>
      </c>
      <c r="AK40" s="1">
        <v>909</v>
      </c>
      <c r="AL40" s="1">
        <v>1023</v>
      </c>
      <c r="AM40" s="1">
        <v>1016</v>
      </c>
      <c r="AN40" s="1">
        <v>1116</v>
      </c>
      <c r="AO40" s="1">
        <v>1150</v>
      </c>
      <c r="AP40" s="1">
        <v>966</v>
      </c>
      <c r="AQ40" s="1">
        <v>1013</v>
      </c>
      <c r="AR40" s="1">
        <v>1077</v>
      </c>
      <c r="AS40" s="1">
        <v>1179</v>
      </c>
      <c r="AT40" s="1">
        <v>1188</v>
      </c>
      <c r="AU40" s="1">
        <v>1218</v>
      </c>
      <c r="AV40" s="1">
        <v>1273</v>
      </c>
      <c r="AW40" s="1">
        <v>1223</v>
      </c>
      <c r="AX40" s="1">
        <v>1335</v>
      </c>
      <c r="AY40" s="1">
        <v>1456</v>
      </c>
      <c r="AZ40" s="1">
        <v>1548</v>
      </c>
    </row>
    <row r="41" spans="1:52" x14ac:dyDescent="0.3">
      <c r="A41" t="s">
        <v>40</v>
      </c>
      <c r="B41" s="1">
        <v>2492</v>
      </c>
      <c r="C41" s="1">
        <v>3065</v>
      </c>
      <c r="D41" s="1">
        <v>3904</v>
      </c>
      <c r="E41" s="1">
        <v>4477</v>
      </c>
      <c r="F41" s="1">
        <v>5127</v>
      </c>
      <c r="G41" s="1">
        <v>4854</v>
      </c>
      <c r="H41" s="1">
        <v>2636</v>
      </c>
      <c r="I41" s="1">
        <v>2619</v>
      </c>
      <c r="J41" s="1">
        <v>3162</v>
      </c>
      <c r="K41" s="1">
        <v>3678</v>
      </c>
      <c r="L41" s="1">
        <v>3941</v>
      </c>
      <c r="M41" s="1">
        <v>4425</v>
      </c>
      <c r="N41" s="1">
        <v>4554</v>
      </c>
      <c r="O41" s="1">
        <v>4636</v>
      </c>
      <c r="P41" s="1">
        <v>5250</v>
      </c>
      <c r="Q41" s="1">
        <v>5737</v>
      </c>
      <c r="R41" s="1">
        <v>7197</v>
      </c>
      <c r="S41" s="1">
        <v>8566</v>
      </c>
      <c r="T41" s="1">
        <v>9586</v>
      </c>
      <c r="U41" s="1">
        <v>10489</v>
      </c>
      <c r="V41" s="1">
        <v>11578</v>
      </c>
      <c r="W41" s="1">
        <v>11683</v>
      </c>
      <c r="X41" s="1">
        <v>12618</v>
      </c>
      <c r="Y41" s="1">
        <v>13688</v>
      </c>
      <c r="Z41" s="1">
        <v>14259</v>
      </c>
      <c r="AA41" s="1">
        <v>15016</v>
      </c>
      <c r="AB41" s="1">
        <v>15979</v>
      </c>
      <c r="AC41" s="1">
        <v>16584</v>
      </c>
      <c r="AD41" s="1">
        <v>17277</v>
      </c>
      <c r="AE41" s="1">
        <v>18615</v>
      </c>
      <c r="AF41" s="1">
        <v>20049</v>
      </c>
      <c r="AG41" s="1">
        <v>22717</v>
      </c>
      <c r="AH41" s="1">
        <v>26885</v>
      </c>
      <c r="AI41" s="1">
        <v>30802</v>
      </c>
      <c r="AJ41" s="1">
        <v>30746</v>
      </c>
      <c r="AK41" s="1">
        <v>37656</v>
      </c>
      <c r="AL41" s="1">
        <v>42762</v>
      </c>
      <c r="AM41" s="1">
        <v>47231</v>
      </c>
      <c r="AN41" s="1">
        <v>50949</v>
      </c>
      <c r="AO41" s="1">
        <v>52017</v>
      </c>
      <c r="AP41" s="1">
        <v>56442</v>
      </c>
      <c r="AQ41" s="1">
        <v>58847</v>
      </c>
      <c r="AR41" s="1">
        <v>60517</v>
      </c>
      <c r="AS41" s="1">
        <v>62422</v>
      </c>
      <c r="AT41" s="1">
        <v>64412</v>
      </c>
      <c r="AU41" s="1">
        <v>62382</v>
      </c>
      <c r="AV41" s="1">
        <v>64954</v>
      </c>
      <c r="AW41" s="1">
        <v>69235</v>
      </c>
      <c r="AX41" s="1">
        <v>86509</v>
      </c>
      <c r="AY41" s="1">
        <v>95365</v>
      </c>
      <c r="AZ41" s="1">
        <v>102591</v>
      </c>
    </row>
    <row r="42" spans="1:52" x14ac:dyDescent="0.3">
      <c r="A42" t="s">
        <v>41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>
        <v>568</v>
      </c>
      <c r="T42" s="1">
        <v>7358</v>
      </c>
      <c r="U42" s="1">
        <v>16669</v>
      </c>
      <c r="V42" s="1">
        <v>20657</v>
      </c>
      <c r="W42" s="1">
        <v>22104</v>
      </c>
      <c r="X42" s="1">
        <v>22101</v>
      </c>
      <c r="Y42" s="1">
        <v>23971</v>
      </c>
      <c r="Z42" s="1">
        <v>23593</v>
      </c>
      <c r="AA42" s="1">
        <v>22145</v>
      </c>
      <c r="AB42" s="1">
        <v>23067</v>
      </c>
      <c r="AC42" s="1">
        <v>26739</v>
      </c>
      <c r="AD42" s="1">
        <v>35239</v>
      </c>
      <c r="AE42" s="1">
        <v>41820</v>
      </c>
      <c r="AF42" s="1">
        <v>45035</v>
      </c>
      <c r="AG42" s="1">
        <v>49593</v>
      </c>
      <c r="AH42" s="1">
        <v>59303</v>
      </c>
      <c r="AI42" s="1">
        <v>68469</v>
      </c>
      <c r="AJ42" s="1">
        <v>62255</v>
      </c>
      <c r="AK42" s="1">
        <v>59032</v>
      </c>
      <c r="AL42" s="1">
        <v>62889</v>
      </c>
      <c r="AM42" s="1">
        <v>57585</v>
      </c>
      <c r="AN42" s="1">
        <v>59854</v>
      </c>
      <c r="AO42" s="1">
        <v>59628</v>
      </c>
      <c r="AP42" s="1">
        <v>51012</v>
      </c>
      <c r="AQ42" s="1">
        <v>52640</v>
      </c>
      <c r="AR42" s="1">
        <v>56166</v>
      </c>
      <c r="AS42" s="1">
        <v>61694</v>
      </c>
      <c r="AT42" s="1">
        <v>61472</v>
      </c>
      <c r="AU42" s="1">
        <v>57919</v>
      </c>
      <c r="AV42" s="1">
        <v>69055</v>
      </c>
      <c r="AW42" s="1">
        <v>71260</v>
      </c>
      <c r="AX42" s="1">
        <v>84416</v>
      </c>
      <c r="AY42" s="1">
        <v>92506</v>
      </c>
      <c r="AZ42" s="1">
        <v>98951</v>
      </c>
    </row>
    <row r="43" spans="1:52" x14ac:dyDescent="0.3">
      <c r="A43" t="s">
        <v>42</v>
      </c>
      <c r="B43" s="1">
        <v>13027</v>
      </c>
      <c r="C43" s="1">
        <v>13790</v>
      </c>
      <c r="D43" s="1">
        <v>14206</v>
      </c>
      <c r="E43" s="1">
        <v>17845</v>
      </c>
      <c r="F43" s="1">
        <v>19584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3">
      <c r="A44" t="s">
        <v>43</v>
      </c>
      <c r="B44" s="1">
        <v>728</v>
      </c>
      <c r="C44" s="1">
        <v>842</v>
      </c>
      <c r="D44" s="1">
        <v>1073</v>
      </c>
      <c r="E44" s="1">
        <v>1404</v>
      </c>
      <c r="F44" s="1">
        <v>1840</v>
      </c>
      <c r="G44" s="1">
        <v>2314</v>
      </c>
      <c r="H44" s="1">
        <v>2242</v>
      </c>
      <c r="I44" s="1">
        <v>2319</v>
      </c>
      <c r="J44" s="1">
        <v>2321</v>
      </c>
      <c r="K44" s="1">
        <v>2447</v>
      </c>
      <c r="L44" s="1">
        <v>2611</v>
      </c>
      <c r="M44" s="1">
        <v>3317</v>
      </c>
      <c r="N44" s="1">
        <v>3979</v>
      </c>
      <c r="O44" s="1">
        <v>4589</v>
      </c>
      <c r="P44" s="1">
        <v>4901</v>
      </c>
      <c r="Q44" s="1">
        <v>6003</v>
      </c>
      <c r="R44" s="1">
        <v>6195</v>
      </c>
      <c r="S44" s="1">
        <v>7424</v>
      </c>
      <c r="T44" s="1">
        <v>7098</v>
      </c>
      <c r="U44" s="1">
        <v>8004</v>
      </c>
      <c r="V44" s="1">
        <v>9937</v>
      </c>
      <c r="W44" s="1">
        <v>10016</v>
      </c>
      <c r="X44" s="1">
        <v>9544</v>
      </c>
      <c r="Y44" s="1">
        <v>10251</v>
      </c>
      <c r="Z44" s="1">
        <v>10502</v>
      </c>
      <c r="AA44" s="1">
        <v>9988</v>
      </c>
      <c r="AB44" s="1">
        <v>10397</v>
      </c>
      <c r="AC44" s="1">
        <v>11422</v>
      </c>
      <c r="AD44" s="1">
        <v>14552</v>
      </c>
      <c r="AE44" s="1">
        <v>17328</v>
      </c>
      <c r="AF44" s="1">
        <v>18713</v>
      </c>
      <c r="AG44" s="1">
        <v>20422</v>
      </c>
      <c r="AH44" s="1">
        <v>24082</v>
      </c>
      <c r="AI44" s="1">
        <v>27955</v>
      </c>
      <c r="AJ44" s="1">
        <v>26020</v>
      </c>
      <c r="AK44" s="1">
        <v>25821</v>
      </c>
      <c r="AL44" s="1">
        <v>27637</v>
      </c>
      <c r="AM44" s="1">
        <v>25063</v>
      </c>
      <c r="AN44" s="1">
        <v>23960</v>
      </c>
      <c r="AO44" s="1">
        <v>23232</v>
      </c>
      <c r="AP44" s="1">
        <v>19911</v>
      </c>
      <c r="AQ44" s="1">
        <v>21041</v>
      </c>
      <c r="AR44" s="1">
        <v>22938</v>
      </c>
      <c r="AS44" s="1">
        <v>25766</v>
      </c>
      <c r="AT44" s="1">
        <v>26200</v>
      </c>
      <c r="AU44" s="1">
        <v>25535</v>
      </c>
      <c r="AV44" s="1">
        <v>30393</v>
      </c>
      <c r="AW44" s="1">
        <v>31001</v>
      </c>
      <c r="AX44" s="1">
        <v>33897</v>
      </c>
      <c r="AY44" s="1">
        <v>36156</v>
      </c>
      <c r="AZ44" s="1">
        <v>38736</v>
      </c>
    </row>
    <row r="45" spans="1:52" x14ac:dyDescent="0.3">
      <c r="A45" t="s">
        <v>44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>
        <v>60565</v>
      </c>
      <c r="W45" s="1">
        <v>67805</v>
      </c>
      <c r="X45" s="1">
        <v>62530</v>
      </c>
      <c r="Y45" s="1">
        <v>67161</v>
      </c>
      <c r="Z45" s="1">
        <v>65586</v>
      </c>
      <c r="AA45" s="1">
        <v>62171</v>
      </c>
      <c r="AB45" s="1">
        <v>68136</v>
      </c>
      <c r="AC45" s="1">
        <v>82596</v>
      </c>
      <c r="AD45" s="1">
        <v>100471</v>
      </c>
      <c r="AE45" s="1">
        <v>120148</v>
      </c>
      <c r="AF45" s="1">
        <v>137264</v>
      </c>
      <c r="AG45" s="1">
        <v>156236</v>
      </c>
      <c r="AH45" s="1">
        <v>189845</v>
      </c>
      <c r="AI45" s="1">
        <v>236820</v>
      </c>
      <c r="AJ45" s="1">
        <v>207095</v>
      </c>
      <c r="AK45" s="1">
        <v>211169</v>
      </c>
      <c r="AL45" s="1">
        <v>231429</v>
      </c>
      <c r="AM45" s="1">
        <v>210363</v>
      </c>
      <c r="AN45" s="1">
        <v>213024</v>
      </c>
      <c r="AO45" s="1">
        <v>210911</v>
      </c>
      <c r="AP45" s="1">
        <v>189108</v>
      </c>
      <c r="AQ45" s="1">
        <v>198161</v>
      </c>
      <c r="AR45" s="1">
        <v>221564</v>
      </c>
      <c r="AS45" s="1">
        <v>251992</v>
      </c>
      <c r="AT45" s="1">
        <v>256794</v>
      </c>
      <c r="AU45" s="1">
        <v>251110</v>
      </c>
      <c r="AV45" s="1">
        <v>290973</v>
      </c>
      <c r="AW45" s="1">
        <v>301831</v>
      </c>
      <c r="AX45" s="1">
        <v>343207</v>
      </c>
      <c r="AY45" s="1">
        <v>344931</v>
      </c>
      <c r="AZ45" s="1">
        <v>360244</v>
      </c>
    </row>
    <row r="46" spans="1:52" x14ac:dyDescent="0.3">
      <c r="A46" t="s">
        <v>45</v>
      </c>
      <c r="B46" s="1">
        <v>27300</v>
      </c>
      <c r="C46" s="1">
        <v>26914</v>
      </c>
      <c r="D46" s="1">
        <v>38583</v>
      </c>
      <c r="E46" s="1">
        <v>42501</v>
      </c>
      <c r="F46" s="1">
        <v>45672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3">
      <c r="A47" t="s">
        <v>46</v>
      </c>
      <c r="B47" s="1">
        <v>6138</v>
      </c>
      <c r="C47" s="1">
        <v>5786</v>
      </c>
      <c r="D47" s="1">
        <v>7401</v>
      </c>
      <c r="E47" s="1">
        <v>10507</v>
      </c>
      <c r="F47" s="1">
        <v>10297</v>
      </c>
      <c r="G47" s="1">
        <v>68606</v>
      </c>
      <c r="H47" s="1">
        <v>59726</v>
      </c>
      <c r="I47" s="1">
        <v>64939</v>
      </c>
      <c r="J47" s="1">
        <v>52378</v>
      </c>
      <c r="K47" s="1">
        <v>34951</v>
      </c>
      <c r="L47" s="1">
        <v>31943</v>
      </c>
      <c r="M47" s="1">
        <v>35840</v>
      </c>
      <c r="N47" s="1">
        <v>33932</v>
      </c>
      <c r="O47" s="1">
        <v>39314</v>
      </c>
      <c r="P47" s="1">
        <v>40006</v>
      </c>
      <c r="Q47" s="1">
        <v>41448</v>
      </c>
      <c r="R47" s="1">
        <v>40250</v>
      </c>
      <c r="S47" s="1">
        <v>36333</v>
      </c>
      <c r="T47" s="1">
        <v>47450</v>
      </c>
      <c r="U47" s="1">
        <v>25746</v>
      </c>
      <c r="V47" s="1">
        <v>25021</v>
      </c>
      <c r="W47" s="1">
        <v>32099</v>
      </c>
      <c r="X47" s="1">
        <v>28819</v>
      </c>
      <c r="Y47" s="1">
        <v>21089</v>
      </c>
      <c r="Z47" s="1">
        <v>19147</v>
      </c>
      <c r="AA47" s="1">
        <v>19077</v>
      </c>
      <c r="AB47" s="1">
        <v>7246</v>
      </c>
      <c r="AC47" s="1">
        <v>8720</v>
      </c>
      <c r="AD47" s="1">
        <v>9022</v>
      </c>
      <c r="AE47" s="1">
        <v>10275</v>
      </c>
      <c r="AF47" s="1">
        <v>12720</v>
      </c>
      <c r="AG47" s="1">
        <v>15403</v>
      </c>
      <c r="AH47" s="1">
        <v>18598</v>
      </c>
      <c r="AI47" s="1">
        <v>22665</v>
      </c>
      <c r="AJ47" s="1">
        <v>18626</v>
      </c>
      <c r="AK47" s="1">
        <v>22340</v>
      </c>
      <c r="AL47" s="1">
        <v>26406</v>
      </c>
      <c r="AM47" s="1">
        <v>30074</v>
      </c>
      <c r="AN47" s="1">
        <v>34908</v>
      </c>
      <c r="AO47" s="1">
        <v>38355</v>
      </c>
      <c r="AP47" s="1">
        <v>40154</v>
      </c>
      <c r="AQ47" s="1">
        <v>38086</v>
      </c>
      <c r="AR47" s="1">
        <v>39461</v>
      </c>
      <c r="AS47" s="1">
        <v>48037</v>
      </c>
      <c r="AT47" s="1">
        <v>50891</v>
      </c>
      <c r="AU47" s="1">
        <v>49613</v>
      </c>
      <c r="AV47" s="1">
        <v>55327</v>
      </c>
      <c r="AW47" s="1">
        <v>63324</v>
      </c>
      <c r="AX47" s="1">
        <v>64402</v>
      </c>
      <c r="AY47" s="1">
        <v>71011</v>
      </c>
      <c r="AZ47" s="1">
        <v>79119</v>
      </c>
    </row>
    <row r="48" spans="1:52" x14ac:dyDescent="0.3">
      <c r="A48" t="s">
        <v>47</v>
      </c>
      <c r="B48" s="1">
        <v>39594</v>
      </c>
      <c r="C48" s="1">
        <v>43676</v>
      </c>
      <c r="D48" s="1">
        <v>48855</v>
      </c>
      <c r="E48" s="1">
        <v>59296</v>
      </c>
      <c r="F48" s="1">
        <v>69161</v>
      </c>
      <c r="G48" s="1">
        <v>70811</v>
      </c>
      <c r="H48" s="1">
        <v>61460</v>
      </c>
      <c r="I48" s="1">
        <v>60084</v>
      </c>
      <c r="J48" s="1">
        <v>60331</v>
      </c>
      <c r="K48" s="1">
        <v>58869</v>
      </c>
      <c r="L48" s="1">
        <v>62452</v>
      </c>
      <c r="M48" s="1">
        <v>87749</v>
      </c>
      <c r="N48" s="1">
        <v>109183</v>
      </c>
      <c r="O48" s="1">
        <v>115540</v>
      </c>
      <c r="P48" s="1">
        <v>112312</v>
      </c>
      <c r="Q48" s="1">
        <v>138219</v>
      </c>
      <c r="R48" s="1">
        <v>139182</v>
      </c>
      <c r="S48" s="1">
        <v>152966</v>
      </c>
      <c r="T48" s="1">
        <v>143110</v>
      </c>
      <c r="U48" s="1">
        <v>156019</v>
      </c>
      <c r="V48" s="1">
        <v>184850</v>
      </c>
      <c r="W48" s="1">
        <v>187482</v>
      </c>
      <c r="X48" s="1">
        <v>173242</v>
      </c>
      <c r="Y48" s="1">
        <v>176876</v>
      </c>
      <c r="Z48" s="1">
        <v>177887</v>
      </c>
      <c r="AA48" s="1">
        <v>164043</v>
      </c>
      <c r="AB48" s="1">
        <v>164881</v>
      </c>
      <c r="AC48" s="1">
        <v>178788</v>
      </c>
      <c r="AD48" s="1">
        <v>218422</v>
      </c>
      <c r="AE48" s="1">
        <v>251988</v>
      </c>
      <c r="AF48" s="1">
        <v>265150</v>
      </c>
      <c r="AG48" s="1">
        <v>283387</v>
      </c>
      <c r="AH48" s="1">
        <v>320213</v>
      </c>
      <c r="AI48" s="1">
        <v>354977</v>
      </c>
      <c r="AJ48" s="1">
        <v>322621</v>
      </c>
      <c r="AK48" s="1">
        <v>322346</v>
      </c>
      <c r="AL48" s="1">
        <v>344316</v>
      </c>
      <c r="AM48" s="1">
        <v>326793</v>
      </c>
      <c r="AN48" s="1">
        <v>344631</v>
      </c>
      <c r="AO48" s="1">
        <v>352833</v>
      </c>
      <c r="AP48" s="1">
        <v>301759</v>
      </c>
      <c r="AQ48" s="1">
        <v>312182</v>
      </c>
      <c r="AR48" s="1">
        <v>331611</v>
      </c>
      <c r="AS48" s="1">
        <v>355293</v>
      </c>
      <c r="AT48" s="1">
        <v>345402</v>
      </c>
      <c r="AU48" s="1">
        <v>355631</v>
      </c>
      <c r="AV48" s="1">
        <v>408378</v>
      </c>
      <c r="AW48" s="1">
        <v>401946</v>
      </c>
      <c r="AX48" s="1">
        <v>407092</v>
      </c>
      <c r="AY48" s="1">
        <v>429458</v>
      </c>
      <c r="AZ48" s="1">
        <v>449940</v>
      </c>
    </row>
    <row r="49" spans="1:52" x14ac:dyDescent="0.3">
      <c r="A49" t="s">
        <v>48</v>
      </c>
      <c r="B49" s="1">
        <v>157</v>
      </c>
      <c r="C49" s="1">
        <v>187</v>
      </c>
      <c r="D49" s="1">
        <v>201</v>
      </c>
      <c r="E49" s="1">
        <v>221</v>
      </c>
      <c r="F49" s="1">
        <v>264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>
        <v>650</v>
      </c>
      <c r="S49" s="1">
        <v>672</v>
      </c>
      <c r="T49" s="1">
        <v>655</v>
      </c>
      <c r="U49" s="1">
        <v>691</v>
      </c>
      <c r="V49" s="1">
        <v>699</v>
      </c>
      <c r="W49" s="1">
        <v>694</v>
      </c>
      <c r="X49" s="1">
        <v>706</v>
      </c>
      <c r="Y49" s="1">
        <v>722</v>
      </c>
      <c r="Z49" s="1">
        <v>759</v>
      </c>
      <c r="AA49" s="1">
        <v>781</v>
      </c>
      <c r="AB49" s="1">
        <v>811</v>
      </c>
      <c r="AC49" s="1">
        <v>837</v>
      </c>
      <c r="AD49" s="1">
        <v>882</v>
      </c>
      <c r="AE49" s="1">
        <v>936</v>
      </c>
      <c r="AF49" s="1">
        <v>996</v>
      </c>
      <c r="AG49" s="1">
        <v>1080</v>
      </c>
      <c r="AH49" s="1">
        <v>1191</v>
      </c>
      <c r="AI49" s="1">
        <v>1382</v>
      </c>
      <c r="AJ49" s="1">
        <v>1426</v>
      </c>
      <c r="AK49" s="1">
        <v>1544</v>
      </c>
      <c r="AL49" s="1">
        <v>1740</v>
      </c>
      <c r="AM49" s="1">
        <v>1901</v>
      </c>
      <c r="AN49" s="1">
        <v>2044</v>
      </c>
      <c r="AO49" s="1">
        <v>2221</v>
      </c>
      <c r="AP49" s="1">
        <v>2424</v>
      </c>
      <c r="AQ49" s="1">
        <v>2605</v>
      </c>
      <c r="AR49" s="1">
        <v>2763</v>
      </c>
      <c r="AS49" s="1">
        <v>2913</v>
      </c>
      <c r="AT49" s="1">
        <v>3089</v>
      </c>
      <c r="AU49" s="1">
        <v>3144</v>
      </c>
      <c r="AV49" s="1">
        <v>3393</v>
      </c>
      <c r="AW49" s="1">
        <v>3563</v>
      </c>
      <c r="AX49" s="1">
        <v>3917</v>
      </c>
      <c r="AY49" s="1">
        <v>4257</v>
      </c>
      <c r="AZ49" s="1">
        <v>4587</v>
      </c>
    </row>
    <row r="50" spans="1:52" x14ac:dyDescent="0.3">
      <c r="A50" t="s">
        <v>49</v>
      </c>
      <c r="B50" s="1">
        <v>40</v>
      </c>
      <c r="C50" s="1">
        <v>39</v>
      </c>
      <c r="D50" s="1">
        <v>44</v>
      </c>
      <c r="E50" s="1">
        <v>54</v>
      </c>
      <c r="F50" s="1">
        <v>53</v>
      </c>
      <c r="G50" s="1">
        <v>73</v>
      </c>
      <c r="H50" s="1">
        <v>82</v>
      </c>
      <c r="I50" s="1">
        <v>90</v>
      </c>
      <c r="J50" s="1">
        <v>99</v>
      </c>
      <c r="K50" s="1">
        <v>109</v>
      </c>
      <c r="L50" s="1">
        <v>119</v>
      </c>
      <c r="M50" s="1">
        <v>135</v>
      </c>
      <c r="N50" s="1">
        <v>152</v>
      </c>
      <c r="O50" s="1">
        <v>171</v>
      </c>
      <c r="P50" s="1">
        <v>185</v>
      </c>
      <c r="Q50" s="1">
        <v>201</v>
      </c>
      <c r="R50" s="1">
        <v>220</v>
      </c>
      <c r="S50" s="1">
        <v>234</v>
      </c>
      <c r="T50" s="1">
        <v>246</v>
      </c>
      <c r="U50" s="1">
        <v>264</v>
      </c>
      <c r="V50" s="1">
        <v>275</v>
      </c>
      <c r="W50" s="1">
        <v>292</v>
      </c>
      <c r="X50" s="1">
        <v>303</v>
      </c>
      <c r="Y50" s="1">
        <v>322</v>
      </c>
      <c r="Z50" s="1">
        <v>332</v>
      </c>
      <c r="AA50" s="1">
        <v>333</v>
      </c>
      <c r="AB50" s="1">
        <v>340</v>
      </c>
      <c r="AC50" s="1">
        <v>333</v>
      </c>
      <c r="AD50" s="1">
        <v>343</v>
      </c>
      <c r="AE50" s="1">
        <v>367</v>
      </c>
      <c r="AF50" s="1">
        <v>364</v>
      </c>
      <c r="AG50" s="1">
        <v>390</v>
      </c>
      <c r="AH50" s="1">
        <v>421</v>
      </c>
      <c r="AI50" s="1">
        <v>458</v>
      </c>
      <c r="AJ50" s="1">
        <v>489</v>
      </c>
      <c r="AK50" s="1">
        <v>494</v>
      </c>
      <c r="AL50" s="1">
        <v>501</v>
      </c>
      <c r="AM50" s="1">
        <v>486</v>
      </c>
      <c r="AN50" s="1">
        <v>498</v>
      </c>
      <c r="AO50" s="1">
        <v>520</v>
      </c>
      <c r="AP50" s="1">
        <v>541</v>
      </c>
      <c r="AQ50" s="1">
        <v>576</v>
      </c>
      <c r="AR50" s="1">
        <v>522</v>
      </c>
      <c r="AS50" s="1">
        <v>555</v>
      </c>
      <c r="AT50" s="1">
        <v>612</v>
      </c>
      <c r="AU50" s="1">
        <v>504</v>
      </c>
      <c r="AV50" s="1">
        <v>555</v>
      </c>
      <c r="AW50" s="1">
        <v>607</v>
      </c>
      <c r="AX50" s="1">
        <v>654</v>
      </c>
      <c r="AY50" s="1">
        <v>697</v>
      </c>
      <c r="AZ50" s="1">
        <v>742</v>
      </c>
    </row>
    <row r="51" spans="1:52" x14ac:dyDescent="0.3">
      <c r="A51" t="s">
        <v>50</v>
      </c>
      <c r="B51" s="1">
        <v>4439</v>
      </c>
      <c r="C51" s="1">
        <v>4874</v>
      </c>
      <c r="D51" s="1">
        <v>5658</v>
      </c>
      <c r="E51" s="1">
        <v>5839</v>
      </c>
      <c r="F51" s="1">
        <v>6782</v>
      </c>
      <c r="G51" s="1">
        <v>8672</v>
      </c>
      <c r="H51" s="1">
        <v>9698</v>
      </c>
      <c r="I51" s="1">
        <v>9141</v>
      </c>
      <c r="J51" s="1">
        <v>9461</v>
      </c>
      <c r="K51" s="1">
        <v>14870</v>
      </c>
      <c r="L51" s="1">
        <v>6496</v>
      </c>
      <c r="M51" s="1">
        <v>7891</v>
      </c>
      <c r="N51" s="1">
        <v>8305</v>
      </c>
      <c r="O51" s="1">
        <v>7605</v>
      </c>
      <c r="P51" s="1">
        <v>8589</v>
      </c>
      <c r="Q51" s="1">
        <v>7995</v>
      </c>
      <c r="R51" s="1">
        <v>9887</v>
      </c>
      <c r="S51" s="1">
        <v>11605</v>
      </c>
      <c r="T51" s="1">
        <v>13081</v>
      </c>
      <c r="U51" s="1">
        <v>14645</v>
      </c>
      <c r="V51" s="1">
        <v>16637</v>
      </c>
      <c r="W51" s="1">
        <v>18242</v>
      </c>
      <c r="X51" s="1">
        <v>20017</v>
      </c>
      <c r="Y51" s="1">
        <v>21672</v>
      </c>
      <c r="Z51" s="1">
        <v>22137</v>
      </c>
      <c r="AA51" s="1">
        <v>24306</v>
      </c>
      <c r="AB51" s="1">
        <v>25602</v>
      </c>
      <c r="AC51" s="1">
        <v>27249</v>
      </c>
      <c r="AD51" s="1">
        <v>21518</v>
      </c>
      <c r="AE51" s="1">
        <v>22506</v>
      </c>
      <c r="AF51" s="1">
        <v>35948</v>
      </c>
      <c r="AG51" s="1">
        <v>37998</v>
      </c>
      <c r="AH51" s="1">
        <v>44067</v>
      </c>
      <c r="AI51" s="1">
        <v>48174</v>
      </c>
      <c r="AJ51" s="1">
        <v>48281</v>
      </c>
      <c r="AK51" s="1">
        <v>53862</v>
      </c>
      <c r="AL51" s="1">
        <v>58006</v>
      </c>
      <c r="AM51" s="1">
        <v>60627</v>
      </c>
      <c r="AN51" s="1">
        <v>62631</v>
      </c>
      <c r="AO51" s="1">
        <v>67098</v>
      </c>
      <c r="AP51" s="1">
        <v>71056</v>
      </c>
      <c r="AQ51" s="1">
        <v>75625</v>
      </c>
      <c r="AR51" s="1">
        <v>79153</v>
      </c>
      <c r="AS51" s="1">
        <v>85068</v>
      </c>
      <c r="AT51" s="1">
        <v>89237</v>
      </c>
      <c r="AU51" s="1">
        <v>78625</v>
      </c>
      <c r="AV51" s="1">
        <v>95067</v>
      </c>
      <c r="AW51" s="1">
        <v>113813</v>
      </c>
      <c r="AX51" s="1">
        <v>120794</v>
      </c>
      <c r="AY51" s="1">
        <v>124613</v>
      </c>
      <c r="AZ51" s="1">
        <v>127828</v>
      </c>
    </row>
    <row r="52" spans="1:52" x14ac:dyDescent="0.3">
      <c r="A52" t="s">
        <v>51</v>
      </c>
      <c r="B52" s="1">
        <v>4536</v>
      </c>
      <c r="C52" s="1">
        <v>5596</v>
      </c>
      <c r="D52" s="1">
        <v>7005</v>
      </c>
      <c r="E52" s="1">
        <v>8056</v>
      </c>
      <c r="F52" s="1">
        <v>9851</v>
      </c>
      <c r="G52" s="1">
        <v>16116</v>
      </c>
      <c r="H52" s="1">
        <v>16501</v>
      </c>
      <c r="I52" s="1">
        <v>16474</v>
      </c>
      <c r="J52" s="1">
        <v>14478</v>
      </c>
      <c r="K52" s="1">
        <v>15408</v>
      </c>
      <c r="L52" s="1">
        <v>18020</v>
      </c>
      <c r="M52" s="1">
        <v>13222</v>
      </c>
      <c r="N52" s="1">
        <v>12355</v>
      </c>
      <c r="O52" s="1">
        <v>11749</v>
      </c>
      <c r="P52" s="1">
        <v>11531</v>
      </c>
      <c r="Q52" s="1">
        <v>11710</v>
      </c>
      <c r="R52" s="1">
        <v>13139</v>
      </c>
      <c r="S52" s="1">
        <v>14367</v>
      </c>
      <c r="T52" s="1">
        <v>16783</v>
      </c>
      <c r="U52" s="1">
        <v>20238</v>
      </c>
      <c r="V52" s="1">
        <v>21980</v>
      </c>
      <c r="W52" s="1">
        <v>23001</v>
      </c>
      <c r="X52" s="1">
        <v>25847</v>
      </c>
      <c r="Y52" s="1">
        <v>26292</v>
      </c>
      <c r="Z52" s="1">
        <v>18891</v>
      </c>
      <c r="AA52" s="1">
        <v>17531</v>
      </c>
      <c r="AB52" s="1">
        <v>23127</v>
      </c>
      <c r="AC52" s="1">
        <v>27054</v>
      </c>
      <c r="AD52" s="1">
        <v>30965</v>
      </c>
      <c r="AE52" s="1">
        <v>35195</v>
      </c>
      <c r="AF52" s="1">
        <v>40279</v>
      </c>
      <c r="AG52" s="1">
        <v>45691</v>
      </c>
      <c r="AH52" s="1">
        <v>49849</v>
      </c>
      <c r="AI52" s="1">
        <v>61139</v>
      </c>
      <c r="AJ52" s="1">
        <v>60095</v>
      </c>
      <c r="AK52" s="1">
        <v>68151</v>
      </c>
      <c r="AL52" s="1">
        <v>78987</v>
      </c>
      <c r="AM52" s="1">
        <v>87735</v>
      </c>
      <c r="AN52" s="1">
        <v>96570</v>
      </c>
      <c r="AO52" s="1">
        <v>102718</v>
      </c>
      <c r="AP52" s="1">
        <v>97210</v>
      </c>
      <c r="AQ52" s="1">
        <v>97671</v>
      </c>
      <c r="AR52" s="1">
        <v>104467</v>
      </c>
      <c r="AS52" s="1">
        <v>107479</v>
      </c>
      <c r="AT52" s="1">
        <v>107596</v>
      </c>
      <c r="AU52" s="1">
        <v>95865</v>
      </c>
      <c r="AV52" s="1">
        <v>107179</v>
      </c>
      <c r="AW52" s="1">
        <v>116133</v>
      </c>
      <c r="AX52" s="1">
        <v>121147</v>
      </c>
      <c r="AY52" s="1">
        <v>121728</v>
      </c>
      <c r="AZ52" s="1">
        <v>125677</v>
      </c>
    </row>
    <row r="53" spans="1:52" x14ac:dyDescent="0.3">
      <c r="A53" t="s">
        <v>52</v>
      </c>
      <c r="B53" s="1">
        <v>12678</v>
      </c>
      <c r="C53" s="1">
        <v>14974</v>
      </c>
      <c r="D53" s="1">
        <v>19136</v>
      </c>
      <c r="E53" s="1">
        <v>23432</v>
      </c>
      <c r="F53" s="1">
        <v>15616</v>
      </c>
      <c r="G53" s="1">
        <v>23523</v>
      </c>
      <c r="H53" s="1">
        <v>25760</v>
      </c>
      <c r="I53" s="1">
        <v>30479</v>
      </c>
      <c r="J53" s="1">
        <v>37254</v>
      </c>
      <c r="K53" s="1">
        <v>41888</v>
      </c>
      <c r="L53" s="1">
        <v>48841</v>
      </c>
      <c r="M53" s="1">
        <v>54076</v>
      </c>
      <c r="N53" s="1">
        <v>77359</v>
      </c>
      <c r="O53" s="1">
        <v>92530</v>
      </c>
      <c r="P53" s="1">
        <v>115362</v>
      </c>
      <c r="Q53" s="1">
        <v>96087</v>
      </c>
      <c r="R53" s="1">
        <v>48431</v>
      </c>
      <c r="S53" s="1">
        <v>44168</v>
      </c>
      <c r="T53" s="1">
        <v>49526</v>
      </c>
      <c r="U53" s="1">
        <v>54550</v>
      </c>
      <c r="V53" s="1">
        <v>63250</v>
      </c>
      <c r="W53" s="1">
        <v>71118</v>
      </c>
      <c r="X53" s="1">
        <v>79777</v>
      </c>
      <c r="Y53" s="1">
        <v>89189</v>
      </c>
      <c r="Z53" s="1">
        <v>95039</v>
      </c>
      <c r="AA53" s="1">
        <v>104752</v>
      </c>
      <c r="AB53" s="1">
        <v>102273</v>
      </c>
      <c r="AC53" s="1">
        <v>90261</v>
      </c>
      <c r="AD53" s="1">
        <v>85163</v>
      </c>
      <c r="AE53" s="1">
        <v>82855</v>
      </c>
      <c r="AF53" s="1">
        <v>94127</v>
      </c>
      <c r="AG53" s="1">
        <v>112902</v>
      </c>
      <c r="AH53" s="1">
        <v>137055</v>
      </c>
      <c r="AI53" s="1">
        <v>170797</v>
      </c>
      <c r="AJ53" s="1">
        <v>198316</v>
      </c>
      <c r="AK53" s="1">
        <v>230024</v>
      </c>
      <c r="AL53" s="1">
        <v>247726</v>
      </c>
      <c r="AM53" s="1">
        <v>294482</v>
      </c>
      <c r="AN53" s="1">
        <v>303194</v>
      </c>
      <c r="AO53" s="1">
        <v>321634</v>
      </c>
      <c r="AP53" s="1">
        <v>350119</v>
      </c>
      <c r="AQ53" s="1">
        <v>351443</v>
      </c>
      <c r="AR53" s="1">
        <v>246826</v>
      </c>
      <c r="AS53" s="1">
        <v>263156</v>
      </c>
      <c r="AT53" s="1">
        <v>317894</v>
      </c>
      <c r="AU53" s="1">
        <v>382525</v>
      </c>
      <c r="AV53" s="1">
        <v>423300</v>
      </c>
      <c r="AW53" s="1">
        <v>475231</v>
      </c>
      <c r="AX53" s="1">
        <v>393828</v>
      </c>
      <c r="AY53" s="1">
        <v>383109</v>
      </c>
      <c r="AZ53" s="1">
        <v>347342</v>
      </c>
    </row>
    <row r="54" spans="1:52" x14ac:dyDescent="0.3">
      <c r="A54" t="s">
        <v>53</v>
      </c>
      <c r="B54" s="1">
        <v>589</v>
      </c>
      <c r="C54" s="1">
        <v>751</v>
      </c>
      <c r="D54" s="1">
        <v>943</v>
      </c>
      <c r="E54" s="1">
        <v>1012</v>
      </c>
      <c r="F54" s="1">
        <v>1132</v>
      </c>
      <c r="G54" s="1">
        <v>3912</v>
      </c>
      <c r="H54" s="1">
        <v>3449</v>
      </c>
      <c r="I54" s="1">
        <v>3406</v>
      </c>
      <c r="J54" s="1">
        <v>3261</v>
      </c>
      <c r="K54" s="1">
        <v>2385</v>
      </c>
      <c r="L54" s="1">
        <v>2319</v>
      </c>
      <c r="M54" s="1">
        <v>2335</v>
      </c>
      <c r="N54" s="1">
        <v>2374</v>
      </c>
      <c r="O54" s="1">
        <v>2771</v>
      </c>
      <c r="P54" s="1">
        <v>3167</v>
      </c>
      <c r="Q54" s="1">
        <v>4818</v>
      </c>
      <c r="R54" s="1">
        <v>5252</v>
      </c>
      <c r="S54" s="1">
        <v>5813</v>
      </c>
      <c r="T54" s="1">
        <v>6680</v>
      </c>
      <c r="U54" s="1">
        <v>7679</v>
      </c>
      <c r="V54" s="1">
        <v>8922</v>
      </c>
      <c r="W54" s="1">
        <v>9586</v>
      </c>
      <c r="X54" s="1">
        <v>10222</v>
      </c>
      <c r="Y54" s="1">
        <v>10937</v>
      </c>
      <c r="Z54" s="1">
        <v>11284</v>
      </c>
      <c r="AA54" s="1">
        <v>11785</v>
      </c>
      <c r="AB54" s="1">
        <v>12283</v>
      </c>
      <c r="AC54" s="1">
        <v>12664</v>
      </c>
      <c r="AD54" s="1">
        <v>13244</v>
      </c>
      <c r="AE54" s="1">
        <v>13725</v>
      </c>
      <c r="AF54" s="1">
        <v>14698</v>
      </c>
      <c r="AG54" s="1">
        <v>16000</v>
      </c>
      <c r="AH54" s="1">
        <v>17012</v>
      </c>
      <c r="AI54" s="1">
        <v>17987</v>
      </c>
      <c r="AJ54" s="1">
        <v>17602</v>
      </c>
      <c r="AK54" s="1">
        <v>18448</v>
      </c>
      <c r="AL54" s="1">
        <v>20284</v>
      </c>
      <c r="AM54" s="1">
        <v>21386</v>
      </c>
      <c r="AN54" s="1">
        <v>21991</v>
      </c>
      <c r="AO54" s="1">
        <v>22593</v>
      </c>
      <c r="AP54" s="1">
        <v>23438</v>
      </c>
      <c r="AQ54" s="1">
        <v>24191</v>
      </c>
      <c r="AR54" s="1">
        <v>24979</v>
      </c>
      <c r="AS54" s="1">
        <v>26021</v>
      </c>
      <c r="AT54" s="1">
        <v>26881</v>
      </c>
      <c r="AU54" s="1">
        <v>24921</v>
      </c>
      <c r="AV54" s="1">
        <v>29043</v>
      </c>
      <c r="AW54" s="1">
        <v>31989</v>
      </c>
      <c r="AX54" s="1">
        <v>34016</v>
      </c>
      <c r="AY54" s="1">
        <v>35337</v>
      </c>
      <c r="AZ54" s="1">
        <v>36749</v>
      </c>
    </row>
    <row r="55" spans="1:52" x14ac:dyDescent="0.3">
      <c r="A55" t="s">
        <v>54</v>
      </c>
      <c r="B55" s="1">
        <v>34</v>
      </c>
      <c r="C55" s="1">
        <v>35</v>
      </c>
      <c r="D55" s="1">
        <v>39</v>
      </c>
      <c r="E55" s="1">
        <v>44</v>
      </c>
      <c r="F55" s="1">
        <v>50</v>
      </c>
      <c r="G55" s="1">
        <v>32</v>
      </c>
      <c r="H55" s="1">
        <v>30</v>
      </c>
      <c r="I55" s="1">
        <v>35</v>
      </c>
      <c r="J55" s="1">
        <v>40</v>
      </c>
      <c r="K55" s="1">
        <v>44</v>
      </c>
      <c r="L55" s="1">
        <v>74</v>
      </c>
      <c r="M55" s="1">
        <v>91</v>
      </c>
      <c r="N55" s="1">
        <v>111</v>
      </c>
      <c r="O55" s="1">
        <v>119</v>
      </c>
      <c r="P55" s="1">
        <v>105</v>
      </c>
      <c r="Q55" s="1">
        <v>133</v>
      </c>
      <c r="R55" s="1">
        <v>132</v>
      </c>
      <c r="S55" s="1">
        <v>160</v>
      </c>
      <c r="T55" s="1">
        <v>162</v>
      </c>
      <c r="U55" s="1">
        <v>120</v>
      </c>
      <c r="V55" s="1">
        <v>169</v>
      </c>
      <c r="W55" s="1">
        <v>276</v>
      </c>
      <c r="X55" s="1">
        <v>526</v>
      </c>
      <c r="Y55" s="1">
        <v>440</v>
      </c>
      <c r="Z55" s="1">
        <v>738</v>
      </c>
      <c r="AA55" s="1">
        <v>1159</v>
      </c>
      <c r="AB55" s="1">
        <v>1674</v>
      </c>
      <c r="AC55" s="1">
        <v>2070</v>
      </c>
      <c r="AD55" s="1">
        <v>3733</v>
      </c>
      <c r="AE55" s="1">
        <v>5935</v>
      </c>
      <c r="AF55" s="1">
        <v>8191</v>
      </c>
      <c r="AG55" s="1">
        <v>10096</v>
      </c>
      <c r="AH55" s="1">
        <v>13091</v>
      </c>
      <c r="AI55" s="1">
        <v>19828</v>
      </c>
      <c r="AJ55" s="1">
        <v>15072</v>
      </c>
      <c r="AK55" s="1">
        <v>16328</v>
      </c>
      <c r="AL55" s="1">
        <v>21354</v>
      </c>
      <c r="AM55" s="1">
        <v>22403</v>
      </c>
      <c r="AN55" s="1">
        <v>21949</v>
      </c>
      <c r="AO55" s="1">
        <v>21771</v>
      </c>
      <c r="AP55" s="1">
        <v>13187</v>
      </c>
      <c r="AQ55" s="1">
        <v>11238</v>
      </c>
      <c r="AR55" s="1">
        <v>12197</v>
      </c>
      <c r="AS55" s="1">
        <v>13309</v>
      </c>
      <c r="AT55" s="1">
        <v>11365</v>
      </c>
      <c r="AU55" s="1">
        <v>9908</v>
      </c>
      <c r="AV55" s="1">
        <v>12222</v>
      </c>
      <c r="AW55" s="1">
        <v>13717</v>
      </c>
      <c r="AX55" s="1">
        <v>12339</v>
      </c>
      <c r="AY55" s="1">
        <v>12544</v>
      </c>
      <c r="AZ55" s="1">
        <v>12684</v>
      </c>
    </row>
    <row r="56" spans="1:52" x14ac:dyDescent="0.3">
      <c r="A56" t="s">
        <v>55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>
        <v>606</v>
      </c>
      <c r="T56" s="1">
        <v>374</v>
      </c>
      <c r="U56" s="1">
        <v>433</v>
      </c>
      <c r="V56" s="1">
        <v>483</v>
      </c>
      <c r="W56" s="1">
        <v>579</v>
      </c>
      <c r="X56" s="1">
        <v>594</v>
      </c>
      <c r="Y56" s="1">
        <v>626</v>
      </c>
      <c r="Z56" s="1">
        <v>614</v>
      </c>
      <c r="AA56" s="1">
        <v>547</v>
      </c>
      <c r="AB56" s="1">
        <v>582</v>
      </c>
      <c r="AC56" s="1">
        <v>564</v>
      </c>
      <c r="AD56" s="1">
        <v>673</v>
      </c>
      <c r="AE56" s="1">
        <v>858</v>
      </c>
      <c r="AF56" s="1">
        <v>850</v>
      </c>
      <c r="AG56" s="1">
        <v>937</v>
      </c>
      <c r="AH56" s="1">
        <v>1020</v>
      </c>
      <c r="AI56" s="1">
        <v>923</v>
      </c>
      <c r="AJ56" s="1">
        <v>1297</v>
      </c>
      <c r="AK56" s="1">
        <v>1590</v>
      </c>
      <c r="AL56" s="1">
        <v>2065</v>
      </c>
      <c r="AM56" s="1">
        <v>2255</v>
      </c>
      <c r="AN56" s="1">
        <v>1958</v>
      </c>
      <c r="AO56" s="1">
        <v>2604</v>
      </c>
      <c r="AP56" s="1">
        <v>2016</v>
      </c>
      <c r="AQ56" s="1">
        <v>2213</v>
      </c>
      <c r="AR56" s="1">
        <v>1904</v>
      </c>
      <c r="AS56" s="1">
        <v>2006</v>
      </c>
      <c r="AT56" s="1">
        <v>1982</v>
      </c>
      <c r="AU56" s="1">
        <v>1982</v>
      </c>
      <c r="AV56" s="1"/>
      <c r="AW56" s="1"/>
      <c r="AX56" s="1"/>
      <c r="AY56" s="1"/>
      <c r="AZ56" s="1"/>
    </row>
    <row r="57" spans="1:52" x14ac:dyDescent="0.3">
      <c r="A57" t="s">
        <v>56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>
        <v>1791</v>
      </c>
      <c r="U57" s="1">
        <v>2507</v>
      </c>
      <c r="V57" s="1">
        <v>3909</v>
      </c>
      <c r="W57" s="1">
        <v>4785</v>
      </c>
      <c r="X57" s="1">
        <v>5160</v>
      </c>
      <c r="Y57" s="1">
        <v>5678</v>
      </c>
      <c r="Z57" s="1">
        <v>5771</v>
      </c>
      <c r="AA57" s="1">
        <v>5707</v>
      </c>
      <c r="AB57" s="1">
        <v>6265</v>
      </c>
      <c r="AC57" s="1">
        <v>7393</v>
      </c>
      <c r="AD57" s="1">
        <v>9894</v>
      </c>
      <c r="AE57" s="1">
        <v>12161</v>
      </c>
      <c r="AF57" s="1">
        <v>14129</v>
      </c>
      <c r="AG57" s="1">
        <v>17049</v>
      </c>
      <c r="AH57" s="1">
        <v>22478</v>
      </c>
      <c r="AI57" s="1">
        <v>24434</v>
      </c>
      <c r="AJ57" s="1">
        <v>19694</v>
      </c>
      <c r="AK57" s="1">
        <v>19569</v>
      </c>
      <c r="AL57" s="1">
        <v>23300</v>
      </c>
      <c r="AM57" s="1">
        <v>23252</v>
      </c>
      <c r="AN57" s="1">
        <v>25451</v>
      </c>
      <c r="AO57" s="1">
        <v>27063</v>
      </c>
      <c r="AP57" s="1">
        <v>23314</v>
      </c>
      <c r="AQ57" s="1">
        <v>24554</v>
      </c>
      <c r="AR57" s="1">
        <v>27460</v>
      </c>
      <c r="AS57" s="1">
        <v>31237</v>
      </c>
      <c r="AT57" s="1">
        <v>31877</v>
      </c>
      <c r="AU57" s="1">
        <v>31795</v>
      </c>
      <c r="AV57" s="1">
        <v>37229</v>
      </c>
      <c r="AW57" s="1">
        <v>38406</v>
      </c>
      <c r="AX57" s="1">
        <v>41303</v>
      </c>
      <c r="AY57" s="1">
        <v>42752</v>
      </c>
      <c r="AZ57" s="1">
        <v>45004</v>
      </c>
    </row>
    <row r="58" spans="1:52" x14ac:dyDescent="0.3">
      <c r="A58" t="s">
        <v>57</v>
      </c>
      <c r="B58" s="1">
        <v>329</v>
      </c>
      <c r="C58" s="1">
        <v>309</v>
      </c>
      <c r="D58" s="1">
        <v>346</v>
      </c>
      <c r="E58" s="1">
        <v>387</v>
      </c>
      <c r="F58" s="1">
        <v>469</v>
      </c>
      <c r="G58" s="1">
        <v>754</v>
      </c>
      <c r="H58" s="1">
        <v>798</v>
      </c>
      <c r="I58" s="1">
        <v>714</v>
      </c>
      <c r="J58" s="1">
        <v>734</v>
      </c>
      <c r="K58" s="1">
        <v>628</v>
      </c>
      <c r="L58" s="1">
        <v>497</v>
      </c>
      <c r="M58" s="1">
        <v>635</v>
      </c>
      <c r="N58" s="1">
        <v>831</v>
      </c>
      <c r="O58" s="1">
        <v>986</v>
      </c>
      <c r="P58" s="1">
        <v>1006</v>
      </c>
      <c r="Q58" s="1">
        <v>1237</v>
      </c>
      <c r="R58" s="1">
        <v>1285</v>
      </c>
      <c r="S58" s="1">
        <v>1425</v>
      </c>
      <c r="T58" s="1">
        <v>1497</v>
      </c>
      <c r="U58" s="1">
        <v>1621</v>
      </c>
      <c r="V58" s="1">
        <v>1932</v>
      </c>
      <c r="W58" s="1">
        <v>1830</v>
      </c>
      <c r="X58" s="1">
        <v>1957</v>
      </c>
      <c r="Y58" s="1">
        <v>1797</v>
      </c>
      <c r="Z58" s="1">
        <v>1764</v>
      </c>
      <c r="AA58" s="1">
        <v>1739</v>
      </c>
      <c r="AB58" s="1">
        <v>1544</v>
      </c>
      <c r="AC58" s="1">
        <v>1436</v>
      </c>
      <c r="AD58" s="1">
        <v>2198</v>
      </c>
      <c r="AE58" s="1">
        <v>2774</v>
      </c>
      <c r="AF58" s="1">
        <v>3177</v>
      </c>
      <c r="AG58" s="1">
        <v>3293</v>
      </c>
      <c r="AH58" s="1">
        <v>3465</v>
      </c>
      <c r="AI58" s="1">
        <v>3298</v>
      </c>
      <c r="AJ58" s="1">
        <v>3596</v>
      </c>
      <c r="AK58" s="1">
        <v>4438</v>
      </c>
      <c r="AL58" s="1">
        <v>4826</v>
      </c>
      <c r="AM58" s="1">
        <v>4887</v>
      </c>
      <c r="AN58" s="1">
        <v>4600</v>
      </c>
      <c r="AO58" s="1">
        <v>4426</v>
      </c>
      <c r="AP58" s="1">
        <v>4061</v>
      </c>
      <c r="AQ58" s="1">
        <v>3815</v>
      </c>
      <c r="AR58" s="1">
        <v>4407</v>
      </c>
      <c r="AS58" s="1">
        <v>4667</v>
      </c>
      <c r="AT58" s="1">
        <v>4495</v>
      </c>
      <c r="AU58" s="1">
        <v>3984</v>
      </c>
      <c r="AV58" s="1">
        <v>4851</v>
      </c>
      <c r="AW58" s="1">
        <v>4791</v>
      </c>
      <c r="AX58" s="1">
        <v>4858</v>
      </c>
      <c r="AY58" s="1">
        <v>5199</v>
      </c>
      <c r="AZ58" s="1">
        <v>5483</v>
      </c>
    </row>
    <row r="59" spans="1:52" x14ac:dyDescent="0.3">
      <c r="A59" t="s">
        <v>58</v>
      </c>
      <c r="B59" s="1">
        <v>3828</v>
      </c>
      <c r="C59" s="1">
        <v>4160</v>
      </c>
      <c r="D59" s="1">
        <v>4730</v>
      </c>
      <c r="E59" s="1">
        <v>5034</v>
      </c>
      <c r="F59" s="1">
        <v>5533</v>
      </c>
      <c r="G59" s="1">
        <v>7385</v>
      </c>
      <c r="H59" s="1">
        <v>7578</v>
      </c>
      <c r="I59" s="1">
        <v>7973</v>
      </c>
      <c r="J59" s="1">
        <v>8863</v>
      </c>
      <c r="K59" s="1">
        <v>8375</v>
      </c>
      <c r="L59" s="1">
        <v>9808</v>
      </c>
      <c r="M59" s="1">
        <v>10188</v>
      </c>
      <c r="N59" s="1">
        <v>10890</v>
      </c>
      <c r="O59" s="1">
        <v>11285</v>
      </c>
      <c r="P59" s="1">
        <v>11872</v>
      </c>
      <c r="Q59" s="1">
        <v>12595</v>
      </c>
      <c r="R59" s="1">
        <v>13928</v>
      </c>
      <c r="S59" s="1">
        <v>14696</v>
      </c>
      <c r="T59" s="1">
        <v>9143</v>
      </c>
      <c r="U59" s="1">
        <v>8135</v>
      </c>
      <c r="V59" s="1">
        <v>7887</v>
      </c>
      <c r="W59" s="1">
        <v>8794</v>
      </c>
      <c r="X59" s="1">
        <v>8621</v>
      </c>
      <c r="Y59" s="1">
        <v>7815</v>
      </c>
      <c r="Z59" s="1">
        <v>7515</v>
      </c>
      <c r="AA59" s="1">
        <v>8167</v>
      </c>
      <c r="AB59" s="1">
        <v>8103</v>
      </c>
      <c r="AC59" s="1">
        <v>7828</v>
      </c>
      <c r="AD59" s="1">
        <v>8604</v>
      </c>
      <c r="AE59" s="1">
        <v>10122</v>
      </c>
      <c r="AF59" s="1">
        <v>12387</v>
      </c>
      <c r="AG59" s="1">
        <v>15310</v>
      </c>
      <c r="AH59" s="1">
        <v>19329</v>
      </c>
      <c r="AI59" s="1">
        <v>26250</v>
      </c>
      <c r="AJ59" s="1">
        <v>28672</v>
      </c>
      <c r="AK59" s="1">
        <v>26887</v>
      </c>
      <c r="AL59" s="1">
        <v>30480</v>
      </c>
      <c r="AM59" s="1">
        <v>42221</v>
      </c>
      <c r="AN59" s="1">
        <v>46544</v>
      </c>
      <c r="AO59" s="1">
        <v>54165</v>
      </c>
      <c r="AP59" s="1">
        <v>63081</v>
      </c>
      <c r="AQ59" s="1">
        <v>72120</v>
      </c>
      <c r="AR59" s="1">
        <v>76841</v>
      </c>
      <c r="AS59" s="1">
        <v>80207</v>
      </c>
      <c r="AT59" s="1">
        <v>92608</v>
      </c>
      <c r="AU59" s="1">
        <v>96611</v>
      </c>
      <c r="AV59" s="1">
        <v>99261</v>
      </c>
      <c r="AW59" s="1">
        <v>118958</v>
      </c>
      <c r="AX59" s="1">
        <v>159761</v>
      </c>
      <c r="AY59" s="1">
        <v>143123</v>
      </c>
      <c r="AZ59" s="1">
        <v>117457</v>
      </c>
    </row>
    <row r="60" spans="1:52" x14ac:dyDescent="0.3">
      <c r="A60" t="s">
        <v>59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>
        <v>222</v>
      </c>
      <c r="W60" s="1">
        <v>221</v>
      </c>
      <c r="X60" s="1">
        <v>207</v>
      </c>
      <c r="Y60" s="1">
        <v>219</v>
      </c>
      <c r="Z60" s="1">
        <v>220</v>
      </c>
      <c r="AA60" s="1">
        <v>233</v>
      </c>
      <c r="AB60" s="1">
        <v>240</v>
      </c>
      <c r="AC60" s="1">
        <v>240</v>
      </c>
      <c r="AD60" s="1">
        <v>243</v>
      </c>
      <c r="AE60" s="1">
        <v>236</v>
      </c>
      <c r="AF60" s="1">
        <v>247</v>
      </c>
      <c r="AG60" s="1">
        <v>250</v>
      </c>
      <c r="AH60" s="1">
        <v>253</v>
      </c>
      <c r="AI60" s="1">
        <v>261</v>
      </c>
      <c r="AJ60" s="1">
        <v>277</v>
      </c>
      <c r="AK60" s="1">
        <v>292</v>
      </c>
      <c r="AL60" s="1">
        <v>308</v>
      </c>
      <c r="AM60" s="1">
        <v>324</v>
      </c>
      <c r="AN60" s="1">
        <v>314</v>
      </c>
      <c r="AO60" s="1">
        <v>316</v>
      </c>
      <c r="AP60" s="1">
        <v>312</v>
      </c>
      <c r="AQ60" s="1">
        <v>327</v>
      </c>
      <c r="AR60" s="1">
        <v>361</v>
      </c>
      <c r="AS60" s="1">
        <v>394</v>
      </c>
      <c r="AT60" s="1">
        <v>395</v>
      </c>
      <c r="AU60" s="1">
        <v>373</v>
      </c>
      <c r="AV60" s="1">
        <v>392</v>
      </c>
      <c r="AW60" s="1">
        <v>416</v>
      </c>
      <c r="AX60" s="1">
        <v>444</v>
      </c>
      <c r="AY60" s="1">
        <v>471</v>
      </c>
      <c r="AZ60" s="1">
        <v>500</v>
      </c>
    </row>
    <row r="61" spans="1:52" x14ac:dyDescent="0.3">
      <c r="A61" t="s">
        <v>60</v>
      </c>
      <c r="B61" s="1">
        <v>691</v>
      </c>
      <c r="C61" s="1">
        <v>702</v>
      </c>
      <c r="D61" s="1">
        <v>727</v>
      </c>
      <c r="E61" s="1">
        <v>838</v>
      </c>
      <c r="F61" s="1">
        <v>1030</v>
      </c>
      <c r="G61" s="1">
        <v>1303</v>
      </c>
      <c r="H61" s="1">
        <v>1339</v>
      </c>
      <c r="I61" s="1">
        <v>1293</v>
      </c>
      <c r="J61" s="1">
        <v>1217</v>
      </c>
      <c r="K61" s="1">
        <v>1276</v>
      </c>
      <c r="L61" s="1">
        <v>1236</v>
      </c>
      <c r="M61" s="1">
        <v>1398</v>
      </c>
      <c r="N61" s="1">
        <v>1276</v>
      </c>
      <c r="O61" s="1">
        <v>1202</v>
      </c>
      <c r="P61" s="1">
        <v>1281</v>
      </c>
      <c r="Q61" s="1">
        <v>1448</v>
      </c>
      <c r="R61" s="1">
        <v>1500</v>
      </c>
      <c r="S61" s="1">
        <v>1659</v>
      </c>
      <c r="T61" s="1">
        <v>1772</v>
      </c>
      <c r="U61" s="1">
        <v>1977</v>
      </c>
      <c r="V61" s="1">
        <v>2134</v>
      </c>
      <c r="W61" s="1">
        <v>2307</v>
      </c>
      <c r="X61" s="1">
        <v>2268</v>
      </c>
      <c r="Y61" s="1">
        <v>1795</v>
      </c>
      <c r="Z61" s="1">
        <v>2104</v>
      </c>
      <c r="AA61" s="1">
        <v>1824</v>
      </c>
      <c r="AB61" s="1">
        <v>1798</v>
      </c>
      <c r="AC61" s="1">
        <v>1996</v>
      </c>
      <c r="AD61" s="1">
        <v>2509</v>
      </c>
      <c r="AE61" s="1">
        <v>2954</v>
      </c>
      <c r="AF61" s="1">
        <v>3257</v>
      </c>
      <c r="AG61" s="1">
        <v>3361</v>
      </c>
      <c r="AH61" s="1">
        <v>3688</v>
      </c>
      <c r="AI61" s="1">
        <v>3816</v>
      </c>
      <c r="AJ61" s="1">
        <v>3106</v>
      </c>
      <c r="AK61" s="1">
        <v>3402</v>
      </c>
      <c r="AL61" s="1">
        <v>4094</v>
      </c>
      <c r="AM61" s="1">
        <v>4303</v>
      </c>
      <c r="AN61" s="1">
        <v>4539</v>
      </c>
      <c r="AO61" s="1">
        <v>4857</v>
      </c>
      <c r="AP61" s="1">
        <v>4682</v>
      </c>
      <c r="AQ61" s="1">
        <v>4930</v>
      </c>
      <c r="AR61" s="1">
        <v>5353</v>
      </c>
      <c r="AS61" s="1">
        <v>5581</v>
      </c>
      <c r="AT61" s="1">
        <v>5444</v>
      </c>
      <c r="AU61" s="1">
        <v>4432</v>
      </c>
      <c r="AV61" s="1">
        <v>4305</v>
      </c>
      <c r="AW61" s="1">
        <v>4970</v>
      </c>
      <c r="AX61" s="1">
        <v>5442</v>
      </c>
      <c r="AY61" s="1">
        <v>5949</v>
      </c>
      <c r="AZ61" s="1">
        <v>6257</v>
      </c>
    </row>
    <row r="62" spans="1:52" x14ac:dyDescent="0.3">
      <c r="A62" t="s">
        <v>61</v>
      </c>
      <c r="B62" s="1">
        <v>29122</v>
      </c>
      <c r="C62" s="1">
        <v>31469</v>
      </c>
      <c r="D62" s="1">
        <v>33102</v>
      </c>
      <c r="E62" s="1">
        <v>35826</v>
      </c>
      <c r="F62" s="1">
        <v>43934</v>
      </c>
      <c r="G62" s="1">
        <v>53714</v>
      </c>
      <c r="H62" s="1">
        <v>52620</v>
      </c>
      <c r="I62" s="1">
        <v>53111</v>
      </c>
      <c r="J62" s="1">
        <v>51056</v>
      </c>
      <c r="K62" s="1">
        <v>53032</v>
      </c>
      <c r="L62" s="1">
        <v>56223</v>
      </c>
      <c r="M62" s="1">
        <v>73652</v>
      </c>
      <c r="N62" s="1">
        <v>91775</v>
      </c>
      <c r="O62" s="1">
        <v>109255</v>
      </c>
      <c r="P62" s="1">
        <v>119106</v>
      </c>
      <c r="Q62" s="1">
        <v>141726</v>
      </c>
      <c r="R62" s="1">
        <v>128215</v>
      </c>
      <c r="S62" s="1">
        <v>113139</v>
      </c>
      <c r="T62" s="1">
        <v>89177</v>
      </c>
      <c r="U62" s="1">
        <v>103621</v>
      </c>
      <c r="V62" s="1">
        <v>134210</v>
      </c>
      <c r="W62" s="1">
        <v>132046</v>
      </c>
      <c r="X62" s="1">
        <v>127027</v>
      </c>
      <c r="Y62" s="1">
        <v>134164</v>
      </c>
      <c r="Z62" s="1">
        <v>135369</v>
      </c>
      <c r="AA62" s="1">
        <v>126023</v>
      </c>
      <c r="AB62" s="1">
        <v>129521</v>
      </c>
      <c r="AC62" s="1">
        <v>140262</v>
      </c>
      <c r="AD62" s="1">
        <v>171570</v>
      </c>
      <c r="AE62" s="1">
        <v>197369</v>
      </c>
      <c r="AF62" s="1">
        <v>204973</v>
      </c>
      <c r="AG62" s="1">
        <v>217056</v>
      </c>
      <c r="AH62" s="1">
        <v>256390</v>
      </c>
      <c r="AI62" s="1">
        <v>285667</v>
      </c>
      <c r="AJ62" s="1">
        <v>253206</v>
      </c>
      <c r="AK62" s="1">
        <v>249633</v>
      </c>
      <c r="AL62" s="1">
        <v>275079</v>
      </c>
      <c r="AM62" s="1">
        <v>257606</v>
      </c>
      <c r="AN62" s="1">
        <v>270272</v>
      </c>
      <c r="AO62" s="1">
        <v>273549</v>
      </c>
      <c r="AP62" s="1">
        <v>233234</v>
      </c>
      <c r="AQ62" s="1">
        <v>238712</v>
      </c>
      <c r="AR62" s="1">
        <v>253757</v>
      </c>
      <c r="AS62" s="1">
        <v>273993</v>
      </c>
      <c r="AT62" s="1">
        <v>267044</v>
      </c>
      <c r="AU62" s="1">
        <v>269784</v>
      </c>
      <c r="AV62" s="1">
        <v>294419</v>
      </c>
      <c r="AW62" s="1">
        <v>280474</v>
      </c>
      <c r="AX62" s="1">
        <v>295036</v>
      </c>
      <c r="AY62" s="1">
        <v>298833</v>
      </c>
      <c r="AZ62" s="1">
        <v>303945</v>
      </c>
    </row>
    <row r="63" spans="1:52" x14ac:dyDescent="0.3">
      <c r="A63" t="s">
        <v>62</v>
      </c>
      <c r="B63" s="1">
        <v>355617</v>
      </c>
      <c r="C63" s="1">
        <v>367273</v>
      </c>
      <c r="D63" s="1">
        <v>405397</v>
      </c>
      <c r="E63" s="1">
        <v>500052</v>
      </c>
      <c r="F63" s="1">
        <v>605041</v>
      </c>
      <c r="G63" s="1">
        <v>695475</v>
      </c>
      <c r="H63" s="1">
        <v>612552</v>
      </c>
      <c r="I63" s="1">
        <v>581254</v>
      </c>
      <c r="J63" s="1">
        <v>555956</v>
      </c>
      <c r="K63" s="1">
        <v>526671</v>
      </c>
      <c r="L63" s="1">
        <v>551596</v>
      </c>
      <c r="M63" s="1">
        <v>766302</v>
      </c>
      <c r="N63" s="1">
        <v>927257</v>
      </c>
      <c r="O63" s="1">
        <v>1012843</v>
      </c>
      <c r="P63" s="1">
        <v>1017702</v>
      </c>
      <c r="Q63" s="1">
        <v>1260874</v>
      </c>
      <c r="R63" s="1">
        <v>1263244</v>
      </c>
      <c r="S63" s="1">
        <v>1392563</v>
      </c>
      <c r="T63" s="1">
        <v>1315795</v>
      </c>
      <c r="U63" s="1">
        <v>1388477</v>
      </c>
      <c r="V63" s="1">
        <v>1596250</v>
      </c>
      <c r="W63" s="1">
        <v>1599248</v>
      </c>
      <c r="X63" s="1">
        <v>1451058</v>
      </c>
      <c r="Y63" s="1">
        <v>1498974</v>
      </c>
      <c r="Z63" s="1">
        <v>1488392</v>
      </c>
      <c r="AA63" s="1">
        <v>1361560</v>
      </c>
      <c r="AB63" s="1">
        <v>1370386</v>
      </c>
      <c r="AC63" s="1">
        <v>1491373</v>
      </c>
      <c r="AD63" s="1">
        <v>1834637</v>
      </c>
      <c r="AE63" s="1">
        <v>2108835</v>
      </c>
      <c r="AF63" s="1">
        <v>2193358</v>
      </c>
      <c r="AG63" s="1">
        <v>2317985</v>
      </c>
      <c r="AH63" s="1">
        <v>2656130</v>
      </c>
      <c r="AI63" s="1">
        <v>2926483</v>
      </c>
      <c r="AJ63" s="1">
        <v>2697144</v>
      </c>
      <c r="AK63" s="1">
        <v>2648391</v>
      </c>
      <c r="AL63" s="1">
        <v>2869903</v>
      </c>
      <c r="AM63" s="1">
        <v>2684706</v>
      </c>
      <c r="AN63" s="1">
        <v>2816119</v>
      </c>
      <c r="AO63" s="1">
        <v>2861973</v>
      </c>
      <c r="AP63" s="1">
        <v>2442731</v>
      </c>
      <c r="AQ63" s="1">
        <v>2469726</v>
      </c>
      <c r="AR63" s="1">
        <v>2587955</v>
      </c>
      <c r="AS63" s="1">
        <v>2782838</v>
      </c>
      <c r="AT63" s="1">
        <v>2723094</v>
      </c>
      <c r="AU63" s="1">
        <v>2645806</v>
      </c>
      <c r="AV63" s="1">
        <v>2968405</v>
      </c>
      <c r="AW63" s="1">
        <v>2797049</v>
      </c>
      <c r="AX63" s="1">
        <v>3056880</v>
      </c>
      <c r="AY63" s="1">
        <v>3162023</v>
      </c>
      <c r="AZ63" s="1">
        <v>3211292</v>
      </c>
    </row>
    <row r="64" spans="1:52" x14ac:dyDescent="0.3">
      <c r="A64" t="s">
        <v>63</v>
      </c>
      <c r="B64" s="1">
        <v>2641</v>
      </c>
      <c r="C64" s="1">
        <v>3684</v>
      </c>
      <c r="D64" s="1">
        <v>3439</v>
      </c>
      <c r="E64" s="1">
        <v>2925</v>
      </c>
      <c r="F64" s="1">
        <v>3709</v>
      </c>
      <c r="G64" s="1">
        <v>4559</v>
      </c>
      <c r="H64" s="1">
        <v>4111</v>
      </c>
      <c r="I64" s="1">
        <v>3853</v>
      </c>
      <c r="J64" s="1">
        <v>3689</v>
      </c>
      <c r="K64" s="1">
        <v>3547</v>
      </c>
      <c r="L64" s="1">
        <v>3736</v>
      </c>
      <c r="M64" s="1">
        <v>4889</v>
      </c>
      <c r="N64" s="1">
        <v>3699</v>
      </c>
      <c r="O64" s="1">
        <v>4079</v>
      </c>
      <c r="P64" s="1">
        <v>4458</v>
      </c>
      <c r="Q64" s="1">
        <v>6339</v>
      </c>
      <c r="R64" s="1">
        <v>5754</v>
      </c>
      <c r="S64" s="1">
        <v>5955</v>
      </c>
      <c r="T64" s="1">
        <v>5757</v>
      </c>
      <c r="U64" s="1">
        <v>4463</v>
      </c>
      <c r="V64" s="1">
        <v>5281</v>
      </c>
      <c r="W64" s="1">
        <v>6064</v>
      </c>
      <c r="X64" s="1">
        <v>5673</v>
      </c>
      <c r="Y64" s="1">
        <v>4774</v>
      </c>
      <c r="Z64" s="1">
        <v>4966</v>
      </c>
      <c r="AA64" s="1">
        <v>5397</v>
      </c>
      <c r="AB64" s="1">
        <v>5023</v>
      </c>
      <c r="AC64" s="1">
        <v>5332</v>
      </c>
      <c r="AD64" s="1">
        <v>6510</v>
      </c>
      <c r="AE64" s="1">
        <v>7767</v>
      </c>
      <c r="AF64" s="1">
        <v>9468</v>
      </c>
      <c r="AG64" s="1">
        <v>10164</v>
      </c>
      <c r="AH64" s="1">
        <v>12457</v>
      </c>
      <c r="AI64" s="1">
        <v>15570</v>
      </c>
      <c r="AJ64" s="1">
        <v>12188</v>
      </c>
      <c r="AK64" s="1">
        <v>14384</v>
      </c>
      <c r="AL64" s="1">
        <v>18207</v>
      </c>
      <c r="AM64" s="1">
        <v>17181</v>
      </c>
      <c r="AN64" s="1">
        <v>17596</v>
      </c>
      <c r="AO64" s="1">
        <v>18209</v>
      </c>
      <c r="AP64" s="1">
        <v>14385</v>
      </c>
      <c r="AQ64" s="1">
        <v>14020</v>
      </c>
      <c r="AR64" s="1">
        <v>14924</v>
      </c>
      <c r="AS64" s="1">
        <v>16830</v>
      </c>
      <c r="AT64" s="1">
        <v>16875</v>
      </c>
      <c r="AU64" s="1">
        <v>15364</v>
      </c>
      <c r="AV64" s="1">
        <v>19455</v>
      </c>
      <c r="AW64" s="1">
        <v>20485</v>
      </c>
      <c r="AX64" s="1">
        <v>20059</v>
      </c>
      <c r="AY64" s="1">
        <v>20774</v>
      </c>
      <c r="AZ64" s="1">
        <v>20391</v>
      </c>
    </row>
    <row r="65" spans="1:52" x14ac:dyDescent="0.3">
      <c r="A65" t="s">
        <v>64</v>
      </c>
      <c r="B65" s="1">
        <v>352</v>
      </c>
      <c r="C65" s="1">
        <v>323</v>
      </c>
      <c r="D65" s="1">
        <v>342</v>
      </c>
      <c r="E65" s="1">
        <v>406</v>
      </c>
      <c r="F65" s="1">
        <v>445</v>
      </c>
      <c r="G65" s="1">
        <v>606</v>
      </c>
      <c r="H65" s="1">
        <v>580</v>
      </c>
      <c r="I65" s="1">
        <v>547</v>
      </c>
      <c r="J65" s="1">
        <v>550</v>
      </c>
      <c r="K65" s="1">
        <v>396</v>
      </c>
      <c r="L65" s="1">
        <v>482</v>
      </c>
      <c r="M65" s="1">
        <v>376</v>
      </c>
      <c r="N65" s="1">
        <v>504</v>
      </c>
      <c r="O65" s="1">
        <v>585</v>
      </c>
      <c r="P65" s="1">
        <v>614</v>
      </c>
      <c r="Q65" s="1">
        <v>721</v>
      </c>
      <c r="R65" s="1">
        <v>760</v>
      </c>
      <c r="S65" s="1">
        <v>820</v>
      </c>
      <c r="T65" s="1">
        <v>878</v>
      </c>
      <c r="U65" s="1">
        <v>870</v>
      </c>
      <c r="V65" s="1">
        <v>909</v>
      </c>
      <c r="W65" s="1">
        <v>949</v>
      </c>
      <c r="X65" s="1">
        <v>983</v>
      </c>
      <c r="Y65" s="1">
        <v>1009</v>
      </c>
      <c r="Z65" s="1">
        <v>1036</v>
      </c>
      <c r="AA65" s="1">
        <v>1010</v>
      </c>
      <c r="AB65" s="1">
        <v>1002</v>
      </c>
      <c r="AC65" s="1">
        <v>887</v>
      </c>
      <c r="AD65" s="1">
        <v>843</v>
      </c>
      <c r="AE65" s="1">
        <v>962</v>
      </c>
      <c r="AF65" s="1">
        <v>1028</v>
      </c>
      <c r="AG65" s="1">
        <v>1054</v>
      </c>
      <c r="AH65" s="1">
        <v>1280</v>
      </c>
      <c r="AI65" s="1">
        <v>1562</v>
      </c>
      <c r="AJ65" s="1">
        <v>1450</v>
      </c>
      <c r="AK65" s="1">
        <v>1543</v>
      </c>
      <c r="AL65" s="1">
        <v>1410</v>
      </c>
      <c r="AM65" s="1">
        <v>1415</v>
      </c>
      <c r="AN65" s="1">
        <v>1376</v>
      </c>
      <c r="AO65" s="1">
        <v>1229</v>
      </c>
      <c r="AP65" s="1">
        <v>1355</v>
      </c>
      <c r="AQ65" s="1">
        <v>1470</v>
      </c>
      <c r="AR65" s="1">
        <v>1498</v>
      </c>
      <c r="AS65" s="1">
        <v>1662</v>
      </c>
      <c r="AT65" s="1">
        <v>1806</v>
      </c>
      <c r="AU65" s="1">
        <v>1809</v>
      </c>
      <c r="AV65" s="1">
        <v>2045</v>
      </c>
      <c r="AW65" s="1">
        <v>2135</v>
      </c>
      <c r="AX65" s="1">
        <v>2345</v>
      </c>
      <c r="AY65" s="1">
        <v>2558</v>
      </c>
      <c r="AZ65" s="1">
        <v>2771</v>
      </c>
    </row>
    <row r="66" spans="1:52" x14ac:dyDescent="0.3">
      <c r="A66" t="s">
        <v>65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>
        <v>850</v>
      </c>
      <c r="V66" s="1">
        <v>1961</v>
      </c>
      <c r="W66" s="1">
        <v>3148</v>
      </c>
      <c r="X66" s="1">
        <v>3608</v>
      </c>
      <c r="Y66" s="1">
        <v>3730</v>
      </c>
      <c r="Z66" s="1">
        <v>2898</v>
      </c>
      <c r="AA66" s="1">
        <v>3144</v>
      </c>
      <c r="AB66" s="1">
        <v>3311</v>
      </c>
      <c r="AC66" s="1">
        <v>3493</v>
      </c>
      <c r="AD66" s="1">
        <v>4103</v>
      </c>
      <c r="AE66" s="1">
        <v>5269</v>
      </c>
      <c r="AF66" s="1">
        <v>6590</v>
      </c>
      <c r="AG66" s="1">
        <v>7979</v>
      </c>
      <c r="AH66" s="1">
        <v>10458</v>
      </c>
      <c r="AI66" s="1">
        <v>13158</v>
      </c>
      <c r="AJ66" s="1">
        <v>11069</v>
      </c>
      <c r="AK66" s="1">
        <v>12425</v>
      </c>
      <c r="AL66" s="1">
        <v>15475</v>
      </c>
      <c r="AM66" s="1">
        <v>16894</v>
      </c>
      <c r="AN66" s="1">
        <v>17516</v>
      </c>
      <c r="AO66" s="1">
        <v>17966</v>
      </c>
      <c r="AP66" s="1">
        <v>15223</v>
      </c>
      <c r="AQ66" s="1">
        <v>15445</v>
      </c>
      <c r="AR66" s="1">
        <v>16472</v>
      </c>
      <c r="AS66" s="1">
        <v>17905</v>
      </c>
      <c r="AT66" s="1">
        <v>17645</v>
      </c>
      <c r="AU66" s="1">
        <v>16013</v>
      </c>
      <c r="AV66" s="1">
        <v>18849</v>
      </c>
      <c r="AW66" s="1">
        <v>24985</v>
      </c>
      <c r="AX66" s="1">
        <v>30778</v>
      </c>
      <c r="AY66" s="1">
        <v>33775</v>
      </c>
      <c r="AZ66" s="1">
        <v>35353</v>
      </c>
    </row>
    <row r="67" spans="1:52" x14ac:dyDescent="0.3">
      <c r="A67" t="s">
        <v>66</v>
      </c>
      <c r="B67" s="1">
        <v>474785</v>
      </c>
      <c r="C67" s="1">
        <v>502961</v>
      </c>
      <c r="D67" s="1">
        <v>581104</v>
      </c>
      <c r="E67" s="1">
        <v>716567</v>
      </c>
      <c r="F67" s="1">
        <v>852855</v>
      </c>
      <c r="G67" s="1">
        <v>856833</v>
      </c>
      <c r="H67" s="1">
        <v>720895</v>
      </c>
      <c r="I67" s="1">
        <v>696088</v>
      </c>
      <c r="J67" s="1">
        <v>694447</v>
      </c>
      <c r="K67" s="1">
        <v>654289</v>
      </c>
      <c r="L67" s="1">
        <v>663459</v>
      </c>
      <c r="M67" s="1">
        <v>947583</v>
      </c>
      <c r="N67" s="1">
        <v>1179165</v>
      </c>
      <c r="O67" s="1">
        <v>1271263</v>
      </c>
      <c r="P67" s="1">
        <v>1262000</v>
      </c>
      <c r="Q67" s="1">
        <v>1604497</v>
      </c>
      <c r="R67" s="1">
        <v>1882489</v>
      </c>
      <c r="S67" s="1">
        <v>2146140</v>
      </c>
      <c r="T67" s="1">
        <v>2080092</v>
      </c>
      <c r="U67" s="1">
        <v>2220165</v>
      </c>
      <c r="V67" s="1">
        <v>2595269</v>
      </c>
      <c r="W67" s="1">
        <v>2507448</v>
      </c>
      <c r="X67" s="1">
        <v>2221504</v>
      </c>
      <c r="Y67" s="1">
        <v>2250847</v>
      </c>
      <c r="Z67" s="1">
        <v>2216072</v>
      </c>
      <c r="AA67" s="1">
        <v>1967850</v>
      </c>
      <c r="AB67" s="1">
        <v>1966395</v>
      </c>
      <c r="AC67" s="1">
        <v>2100865</v>
      </c>
      <c r="AD67" s="1">
        <v>2534081</v>
      </c>
      <c r="AE67" s="1">
        <v>2851023</v>
      </c>
      <c r="AF67" s="1">
        <v>2894992</v>
      </c>
      <c r="AG67" s="1">
        <v>3046470</v>
      </c>
      <c r="AH67" s="1">
        <v>3484467</v>
      </c>
      <c r="AI67" s="1">
        <v>3808369</v>
      </c>
      <c r="AJ67" s="1">
        <v>3476022</v>
      </c>
      <c r="AK67" s="1">
        <v>3470987</v>
      </c>
      <c r="AL67" s="1">
        <v>3824155</v>
      </c>
      <c r="AM67" s="1">
        <v>3600175</v>
      </c>
      <c r="AN67" s="1">
        <v>3808142</v>
      </c>
      <c r="AO67" s="1">
        <v>3966823</v>
      </c>
      <c r="AP67" s="1">
        <v>3423915</v>
      </c>
      <c r="AQ67" s="1">
        <v>3536808</v>
      </c>
      <c r="AR67" s="1">
        <v>3761764</v>
      </c>
      <c r="AS67" s="1">
        <v>4053846</v>
      </c>
      <c r="AT67" s="1">
        <v>3957645</v>
      </c>
      <c r="AU67" s="1">
        <v>3936989</v>
      </c>
      <c r="AV67" s="1">
        <v>4351188</v>
      </c>
      <c r="AW67" s="1">
        <v>4166872</v>
      </c>
      <c r="AX67" s="1">
        <v>4527009</v>
      </c>
      <c r="AY67" s="1">
        <v>4658526</v>
      </c>
      <c r="AZ67" s="1">
        <v>4744804</v>
      </c>
    </row>
    <row r="68" spans="1:52" x14ac:dyDescent="0.3">
      <c r="A68" t="s">
        <v>67</v>
      </c>
      <c r="B68" s="1">
        <v>3490</v>
      </c>
      <c r="C68" s="1">
        <v>3559</v>
      </c>
      <c r="D68" s="1">
        <v>3872</v>
      </c>
      <c r="E68" s="1">
        <v>4495</v>
      </c>
      <c r="F68" s="1">
        <v>4748</v>
      </c>
      <c r="G68" s="1">
        <v>38684</v>
      </c>
      <c r="H68" s="1">
        <v>61487</v>
      </c>
      <c r="I68" s="1">
        <v>70954</v>
      </c>
      <c r="J68" s="1">
        <v>49337</v>
      </c>
      <c r="K68" s="1">
        <v>17998</v>
      </c>
      <c r="L68" s="1">
        <v>15970</v>
      </c>
      <c r="M68" s="1">
        <v>15086</v>
      </c>
      <c r="N68" s="1">
        <v>12692</v>
      </c>
      <c r="O68" s="1">
        <v>13566</v>
      </c>
      <c r="P68" s="1">
        <v>13723</v>
      </c>
      <c r="Q68" s="1">
        <v>15882</v>
      </c>
      <c r="R68" s="1">
        <v>17795</v>
      </c>
      <c r="S68" s="1">
        <v>17666</v>
      </c>
      <c r="T68" s="1">
        <v>14532</v>
      </c>
      <c r="U68" s="1">
        <v>13433</v>
      </c>
      <c r="V68" s="1">
        <v>15692</v>
      </c>
      <c r="W68" s="1">
        <v>16629</v>
      </c>
      <c r="X68" s="1">
        <v>17024</v>
      </c>
      <c r="Y68" s="1">
        <v>18528</v>
      </c>
      <c r="Z68" s="1">
        <v>19165</v>
      </c>
      <c r="AA68" s="1">
        <v>12349</v>
      </c>
      <c r="AB68" s="1">
        <v>13113</v>
      </c>
      <c r="AC68" s="1">
        <v>15229</v>
      </c>
      <c r="AD68" s="1">
        <v>18790</v>
      </c>
      <c r="AE68" s="1">
        <v>21754</v>
      </c>
      <c r="AF68" s="1">
        <v>26415</v>
      </c>
      <c r="AG68" s="1">
        <v>30963</v>
      </c>
      <c r="AH68" s="1">
        <v>36544</v>
      </c>
      <c r="AI68" s="1">
        <v>41323</v>
      </c>
      <c r="AJ68" s="1">
        <v>37127</v>
      </c>
      <c r="AK68" s="1">
        <v>45447</v>
      </c>
      <c r="AL68" s="1">
        <v>53625</v>
      </c>
      <c r="AM68" s="1">
        <v>55800</v>
      </c>
      <c r="AN68" s="1">
        <v>62846</v>
      </c>
      <c r="AO68" s="1">
        <v>54678</v>
      </c>
      <c r="AP68" s="1">
        <v>49437</v>
      </c>
      <c r="AQ68" s="1">
        <v>56144</v>
      </c>
      <c r="AR68" s="1">
        <v>60385</v>
      </c>
      <c r="AS68" s="1">
        <v>67259</v>
      </c>
      <c r="AT68" s="1">
        <v>68353</v>
      </c>
      <c r="AU68" s="1">
        <v>70008</v>
      </c>
      <c r="AV68" s="1">
        <v>79514</v>
      </c>
      <c r="AW68" s="1">
        <v>73919</v>
      </c>
      <c r="AX68" s="1">
        <v>80547</v>
      </c>
      <c r="AY68" s="1">
        <v>82825</v>
      </c>
      <c r="AZ68" s="1">
        <v>88332</v>
      </c>
    </row>
    <row r="69" spans="1:52" x14ac:dyDescent="0.3">
      <c r="A69" t="s">
        <v>68</v>
      </c>
      <c r="B69" s="1">
        <v>27212</v>
      </c>
      <c r="C69" s="1">
        <v>29715</v>
      </c>
      <c r="D69" s="1">
        <v>34493</v>
      </c>
      <c r="E69" s="1">
        <v>42200</v>
      </c>
      <c r="F69" s="1">
        <v>51954</v>
      </c>
      <c r="G69" s="1">
        <v>56217</v>
      </c>
      <c r="H69" s="1">
        <v>51873</v>
      </c>
      <c r="I69" s="1">
        <v>54114</v>
      </c>
      <c r="J69" s="1">
        <v>48913</v>
      </c>
      <c r="K69" s="1">
        <v>47657</v>
      </c>
      <c r="L69" s="1">
        <v>47269</v>
      </c>
      <c r="M69" s="1">
        <v>55636</v>
      </c>
      <c r="N69" s="1">
        <v>64769</v>
      </c>
      <c r="O69" s="1">
        <v>75384</v>
      </c>
      <c r="P69" s="1">
        <v>78148</v>
      </c>
      <c r="Q69" s="1">
        <v>96601</v>
      </c>
      <c r="R69" s="1">
        <v>104164</v>
      </c>
      <c r="S69" s="1">
        <v>114846</v>
      </c>
      <c r="T69" s="1">
        <v>107505</v>
      </c>
      <c r="U69" s="1">
        <v>115055</v>
      </c>
      <c r="V69" s="1">
        <v>135036</v>
      </c>
      <c r="W69" s="1">
        <v>142513</v>
      </c>
      <c r="X69" s="1">
        <v>138930</v>
      </c>
      <c r="Y69" s="1">
        <v>139821</v>
      </c>
      <c r="Z69" s="1">
        <v>143693</v>
      </c>
      <c r="AA69" s="1">
        <v>127438</v>
      </c>
      <c r="AB69" s="1">
        <v>132051</v>
      </c>
      <c r="AC69" s="1">
        <v>150148</v>
      </c>
      <c r="AD69" s="1">
        <v>196881</v>
      </c>
      <c r="AE69" s="1">
        <v>234873</v>
      </c>
      <c r="AF69" s="1">
        <v>242450</v>
      </c>
      <c r="AG69" s="1">
        <v>269088</v>
      </c>
      <c r="AH69" s="1">
        <v>314264</v>
      </c>
      <c r="AI69" s="1">
        <v>351083</v>
      </c>
      <c r="AJ69" s="1">
        <v>326474</v>
      </c>
      <c r="AK69" s="1">
        <v>296660</v>
      </c>
      <c r="AL69" s="1">
        <v>283178</v>
      </c>
      <c r="AM69" s="1">
        <v>238992</v>
      </c>
      <c r="AN69" s="1">
        <v>236560</v>
      </c>
      <c r="AO69" s="1">
        <v>233972</v>
      </c>
      <c r="AP69" s="1">
        <v>194587</v>
      </c>
      <c r="AQ69" s="1">
        <v>193044</v>
      </c>
      <c r="AR69" s="1">
        <v>200310</v>
      </c>
      <c r="AS69" s="1">
        <v>213396</v>
      </c>
      <c r="AT69" s="1">
        <v>207329</v>
      </c>
      <c r="AU69" s="1">
        <v>191210</v>
      </c>
      <c r="AV69" s="1">
        <v>218449</v>
      </c>
      <c r="AW69" s="1">
        <v>219053</v>
      </c>
      <c r="AX69" s="1">
        <v>243569</v>
      </c>
      <c r="AY69" s="1">
        <v>257067</v>
      </c>
      <c r="AZ69" s="1">
        <v>267348</v>
      </c>
    </row>
    <row r="70" spans="1:52" x14ac:dyDescent="0.3">
      <c r="A70" t="s">
        <v>69</v>
      </c>
      <c r="B70" s="1">
        <v>44</v>
      </c>
      <c r="C70" s="1">
        <v>44</v>
      </c>
      <c r="D70" s="1">
        <v>50</v>
      </c>
      <c r="E70" s="1">
        <v>64</v>
      </c>
      <c r="F70" s="1">
        <v>75</v>
      </c>
      <c r="G70" s="1">
        <v>111</v>
      </c>
      <c r="H70" s="1">
        <v>116</v>
      </c>
      <c r="I70" s="1">
        <v>125</v>
      </c>
      <c r="J70" s="1">
        <v>132</v>
      </c>
      <c r="K70" s="1">
        <v>146</v>
      </c>
      <c r="L70" s="1">
        <v>168</v>
      </c>
      <c r="M70" s="1">
        <v>188</v>
      </c>
      <c r="N70" s="1">
        <v>215</v>
      </c>
      <c r="O70" s="1">
        <v>236</v>
      </c>
      <c r="P70" s="1">
        <v>267</v>
      </c>
      <c r="Q70" s="1">
        <v>278</v>
      </c>
      <c r="R70" s="1">
        <v>301</v>
      </c>
      <c r="S70" s="1">
        <v>310</v>
      </c>
      <c r="T70" s="1">
        <v>310</v>
      </c>
      <c r="U70" s="1">
        <v>325</v>
      </c>
      <c r="V70" s="1">
        <v>342</v>
      </c>
      <c r="W70" s="1">
        <v>367</v>
      </c>
      <c r="X70" s="1">
        <v>392</v>
      </c>
      <c r="Y70" s="1">
        <v>446</v>
      </c>
      <c r="Z70" s="1">
        <v>482</v>
      </c>
      <c r="AA70" s="1">
        <v>520</v>
      </c>
      <c r="AB70" s="1">
        <v>520</v>
      </c>
      <c r="AC70" s="1">
        <v>540</v>
      </c>
      <c r="AD70" s="1">
        <v>591</v>
      </c>
      <c r="AE70" s="1">
        <v>599</v>
      </c>
      <c r="AF70" s="1">
        <v>695</v>
      </c>
      <c r="AG70" s="1">
        <v>699</v>
      </c>
      <c r="AH70" s="1">
        <v>759</v>
      </c>
      <c r="AI70" s="1">
        <v>826</v>
      </c>
      <c r="AJ70" s="1">
        <v>771</v>
      </c>
      <c r="AK70" s="1">
        <v>771</v>
      </c>
      <c r="AL70" s="1">
        <v>779</v>
      </c>
      <c r="AM70" s="1">
        <v>800</v>
      </c>
      <c r="AN70" s="1">
        <v>843</v>
      </c>
      <c r="AO70" s="1">
        <v>911</v>
      </c>
      <c r="AP70" s="1">
        <v>997</v>
      </c>
      <c r="AQ70" s="1">
        <v>1062</v>
      </c>
      <c r="AR70" s="1">
        <v>1126</v>
      </c>
      <c r="AS70" s="1">
        <v>1167</v>
      </c>
      <c r="AT70" s="1">
        <v>1213</v>
      </c>
      <c r="AU70" s="1">
        <v>1043</v>
      </c>
      <c r="AV70" s="1">
        <v>1123</v>
      </c>
      <c r="AW70" s="1">
        <v>1231</v>
      </c>
      <c r="AX70" s="1">
        <v>1325</v>
      </c>
      <c r="AY70" s="1">
        <v>1392</v>
      </c>
      <c r="AZ70" s="1">
        <v>1464</v>
      </c>
    </row>
    <row r="71" spans="1:52" x14ac:dyDescent="0.3">
      <c r="A71" t="s">
        <v>70</v>
      </c>
      <c r="B71" s="1">
        <v>3250</v>
      </c>
      <c r="C71" s="1">
        <v>3892</v>
      </c>
      <c r="D71" s="1">
        <v>4886</v>
      </c>
      <c r="E71" s="1">
        <v>5412</v>
      </c>
      <c r="F71" s="1">
        <v>6154</v>
      </c>
      <c r="G71" s="1">
        <v>7718</v>
      </c>
      <c r="H71" s="1">
        <v>8431</v>
      </c>
      <c r="I71" s="1">
        <v>8539</v>
      </c>
      <c r="J71" s="1">
        <v>8864</v>
      </c>
      <c r="K71" s="1">
        <v>9276</v>
      </c>
      <c r="L71" s="1">
        <v>10951</v>
      </c>
      <c r="M71" s="1">
        <v>5921</v>
      </c>
      <c r="N71" s="1">
        <v>6857</v>
      </c>
      <c r="O71" s="1">
        <v>7426</v>
      </c>
      <c r="P71" s="1">
        <v>8561</v>
      </c>
      <c r="Q71" s="1">
        <v>7535</v>
      </c>
      <c r="R71" s="1">
        <v>9174</v>
      </c>
      <c r="S71" s="1">
        <v>10138</v>
      </c>
      <c r="T71" s="1">
        <v>11045</v>
      </c>
      <c r="U71" s="1">
        <v>12482</v>
      </c>
      <c r="V71" s="1">
        <v>14050</v>
      </c>
      <c r="W71" s="1">
        <v>14992</v>
      </c>
      <c r="X71" s="1">
        <v>16982</v>
      </c>
      <c r="Y71" s="1">
        <v>18461</v>
      </c>
      <c r="Z71" s="1">
        <v>17422</v>
      </c>
      <c r="AA71" s="1">
        <v>18124</v>
      </c>
      <c r="AB71" s="1">
        <v>19735</v>
      </c>
      <c r="AC71" s="1">
        <v>21924</v>
      </c>
      <c r="AD71" s="1">
        <v>23092</v>
      </c>
      <c r="AE71" s="1">
        <v>24977</v>
      </c>
      <c r="AF71" s="1">
        <v>28179</v>
      </c>
      <c r="AG71" s="1">
        <v>31308</v>
      </c>
      <c r="AH71" s="1">
        <v>35028</v>
      </c>
      <c r="AI71" s="1">
        <v>40242</v>
      </c>
      <c r="AJ71" s="1">
        <v>37997</v>
      </c>
      <c r="AK71" s="1">
        <v>41493</v>
      </c>
      <c r="AL71" s="1">
        <v>47419</v>
      </c>
      <c r="AM71" s="1">
        <v>49902</v>
      </c>
      <c r="AN71" s="1">
        <v>52989</v>
      </c>
      <c r="AO71" s="1">
        <v>57835</v>
      </c>
      <c r="AP71" s="1">
        <v>62180</v>
      </c>
      <c r="AQ71" s="1">
        <v>66034</v>
      </c>
      <c r="AR71" s="1">
        <v>71624</v>
      </c>
      <c r="AS71" s="1">
        <v>73331</v>
      </c>
      <c r="AT71" s="1">
        <v>77156</v>
      </c>
      <c r="AU71" s="1">
        <v>77718</v>
      </c>
      <c r="AV71" s="1">
        <v>86467</v>
      </c>
      <c r="AW71" s="1">
        <v>95631</v>
      </c>
      <c r="AX71" s="1">
        <v>104436</v>
      </c>
      <c r="AY71" s="1">
        <v>112575</v>
      </c>
      <c r="AZ71" s="1">
        <v>121177</v>
      </c>
    </row>
    <row r="72" spans="1:52" x14ac:dyDescent="0.3">
      <c r="A72" t="s">
        <v>71</v>
      </c>
      <c r="B72" s="1">
        <v>926</v>
      </c>
      <c r="C72" s="1">
        <v>1056</v>
      </c>
      <c r="D72" s="1">
        <v>1085</v>
      </c>
      <c r="E72" s="1">
        <v>1241</v>
      </c>
      <c r="F72" s="1">
        <v>1328</v>
      </c>
      <c r="G72" s="1">
        <v>2400</v>
      </c>
      <c r="H72" s="1">
        <v>2381</v>
      </c>
      <c r="I72" s="1">
        <v>2335</v>
      </c>
      <c r="J72" s="1">
        <v>2284</v>
      </c>
      <c r="K72" s="1">
        <v>2327</v>
      </c>
      <c r="L72" s="1">
        <v>2473</v>
      </c>
      <c r="M72" s="1">
        <v>2675</v>
      </c>
      <c r="N72" s="1">
        <v>2840</v>
      </c>
      <c r="O72" s="1">
        <v>3317</v>
      </c>
      <c r="P72" s="1">
        <v>3384</v>
      </c>
      <c r="Q72" s="1">
        <v>3710</v>
      </c>
      <c r="R72" s="1">
        <v>4195</v>
      </c>
      <c r="S72" s="1">
        <v>4570</v>
      </c>
      <c r="T72" s="1">
        <v>4562</v>
      </c>
      <c r="U72" s="1">
        <v>4707</v>
      </c>
      <c r="V72" s="1">
        <v>5139</v>
      </c>
      <c r="W72" s="1">
        <v>5316</v>
      </c>
      <c r="X72" s="1">
        <v>5212</v>
      </c>
      <c r="Y72" s="1">
        <v>5003</v>
      </c>
      <c r="Z72" s="1">
        <v>4798</v>
      </c>
      <c r="AA72" s="1">
        <v>4039</v>
      </c>
      <c r="AB72" s="1">
        <v>3806</v>
      </c>
      <c r="AC72" s="1">
        <v>4022</v>
      </c>
      <c r="AD72" s="1">
        <v>4759</v>
      </c>
      <c r="AE72" s="1">
        <v>5012</v>
      </c>
      <c r="AF72" s="1">
        <v>4506</v>
      </c>
      <c r="AG72" s="1">
        <v>4178</v>
      </c>
      <c r="AH72" s="1">
        <v>6317</v>
      </c>
      <c r="AI72" s="1">
        <v>6966</v>
      </c>
      <c r="AJ72" s="1">
        <v>6753</v>
      </c>
      <c r="AK72" s="1">
        <v>6858</v>
      </c>
      <c r="AL72" s="1">
        <v>6775</v>
      </c>
      <c r="AM72" s="1">
        <v>7387</v>
      </c>
      <c r="AN72" s="1">
        <v>8376</v>
      </c>
      <c r="AO72" s="1">
        <v>8777</v>
      </c>
      <c r="AP72" s="1">
        <v>8790</v>
      </c>
      <c r="AQ72" s="1">
        <v>8604</v>
      </c>
      <c r="AR72" s="1">
        <v>10325</v>
      </c>
      <c r="AS72" s="1">
        <v>11857</v>
      </c>
      <c r="AT72" s="1">
        <v>13443</v>
      </c>
      <c r="AU72" s="1">
        <v>14089</v>
      </c>
      <c r="AV72" s="1">
        <v>16320</v>
      </c>
      <c r="AW72" s="1">
        <v>19589</v>
      </c>
      <c r="AX72" s="1">
        <v>22750</v>
      </c>
      <c r="AY72" s="1">
        <v>25758</v>
      </c>
      <c r="AZ72" s="1">
        <v>30094</v>
      </c>
    </row>
    <row r="73" spans="1:52" x14ac:dyDescent="0.3">
      <c r="A73" t="s">
        <v>72</v>
      </c>
      <c r="B73" s="1">
        <v>556</v>
      </c>
      <c r="C73" s="1">
        <v>500</v>
      </c>
      <c r="D73" s="1">
        <v>430</v>
      </c>
      <c r="E73" s="1">
        <v>497</v>
      </c>
      <c r="F73" s="1">
        <v>544</v>
      </c>
      <c r="G73" s="1">
        <v>289</v>
      </c>
      <c r="H73" s="1">
        <v>370</v>
      </c>
      <c r="I73" s="1">
        <v>421</v>
      </c>
      <c r="J73" s="1">
        <v>475</v>
      </c>
      <c r="K73" s="1">
        <v>330</v>
      </c>
      <c r="L73" s="1">
        <v>485</v>
      </c>
      <c r="M73" s="1">
        <v>474</v>
      </c>
      <c r="N73" s="1">
        <v>401</v>
      </c>
      <c r="O73" s="1">
        <v>374</v>
      </c>
      <c r="P73" s="1">
        <v>449</v>
      </c>
      <c r="Q73" s="1">
        <v>548</v>
      </c>
      <c r="R73" s="1">
        <v>772</v>
      </c>
      <c r="S73" s="1">
        <v>846</v>
      </c>
      <c r="T73" s="1">
        <v>653</v>
      </c>
      <c r="U73" s="1">
        <v>361</v>
      </c>
      <c r="V73" s="1">
        <v>778</v>
      </c>
      <c r="W73" s="1">
        <v>741</v>
      </c>
      <c r="X73" s="1">
        <v>704</v>
      </c>
      <c r="Y73" s="1">
        <v>592</v>
      </c>
      <c r="Z73" s="1">
        <v>580</v>
      </c>
      <c r="AA73" s="1">
        <v>392</v>
      </c>
      <c r="AB73" s="1">
        <v>413</v>
      </c>
      <c r="AC73" s="1">
        <v>466</v>
      </c>
      <c r="AD73" s="1">
        <v>553</v>
      </c>
      <c r="AE73" s="1">
        <v>582</v>
      </c>
      <c r="AF73" s="1">
        <v>640</v>
      </c>
      <c r="AG73" s="1">
        <v>635</v>
      </c>
      <c r="AH73" s="1">
        <v>753</v>
      </c>
      <c r="AI73" s="1">
        <v>953</v>
      </c>
      <c r="AJ73" s="1">
        <v>889</v>
      </c>
      <c r="AK73" s="1">
        <v>941</v>
      </c>
      <c r="AL73" s="1">
        <v>1157</v>
      </c>
      <c r="AM73" s="1">
        <v>1050</v>
      </c>
      <c r="AN73" s="1">
        <v>1110</v>
      </c>
      <c r="AO73" s="1">
        <v>1136</v>
      </c>
      <c r="AP73" s="1">
        <v>1153</v>
      </c>
      <c r="AQ73" s="1">
        <v>1245</v>
      </c>
      <c r="AR73" s="1">
        <v>1469</v>
      </c>
      <c r="AS73" s="1">
        <v>1555</v>
      </c>
      <c r="AT73" s="1">
        <v>1487</v>
      </c>
      <c r="AU73" s="1">
        <v>1523</v>
      </c>
      <c r="AV73" s="1">
        <v>1722</v>
      </c>
      <c r="AW73" s="1">
        <v>1721</v>
      </c>
      <c r="AX73" s="1">
        <v>2005</v>
      </c>
      <c r="AY73" s="1">
        <v>2184</v>
      </c>
      <c r="AZ73" s="1">
        <v>2274</v>
      </c>
    </row>
    <row r="74" spans="1:52" x14ac:dyDescent="0.3">
      <c r="A74" t="s">
        <v>73</v>
      </c>
      <c r="B74" s="1">
        <v>804</v>
      </c>
      <c r="C74" s="1">
        <v>711</v>
      </c>
      <c r="D74" s="1">
        <v>703</v>
      </c>
      <c r="E74" s="1">
        <v>793</v>
      </c>
      <c r="F74" s="1">
        <v>829</v>
      </c>
      <c r="G74" s="1">
        <v>842</v>
      </c>
      <c r="H74" s="1">
        <v>808</v>
      </c>
      <c r="I74" s="1">
        <v>692</v>
      </c>
      <c r="J74" s="1">
        <v>703</v>
      </c>
      <c r="K74" s="1">
        <v>654</v>
      </c>
      <c r="L74" s="1">
        <v>697</v>
      </c>
      <c r="M74" s="1">
        <v>789</v>
      </c>
      <c r="N74" s="1">
        <v>728</v>
      </c>
      <c r="O74" s="1">
        <v>828</v>
      </c>
      <c r="P74" s="1">
        <v>832</v>
      </c>
      <c r="Q74" s="1">
        <v>685</v>
      </c>
      <c r="R74" s="1">
        <v>744</v>
      </c>
      <c r="S74" s="1">
        <v>823</v>
      </c>
      <c r="T74" s="1">
        <v>1003</v>
      </c>
      <c r="U74" s="1">
        <v>1176</v>
      </c>
      <c r="V74" s="1">
        <v>1332</v>
      </c>
      <c r="W74" s="1">
        <v>1495</v>
      </c>
      <c r="X74" s="1">
        <v>1587</v>
      </c>
      <c r="Y74" s="1">
        <v>1500</v>
      </c>
      <c r="Z74" s="1">
        <v>1488</v>
      </c>
      <c r="AA74" s="1">
        <v>1497</v>
      </c>
      <c r="AB74" s="1">
        <v>1504</v>
      </c>
      <c r="AC74" s="1">
        <v>1555</v>
      </c>
      <c r="AD74" s="1">
        <v>1592</v>
      </c>
      <c r="AE74" s="1">
        <v>1657</v>
      </c>
      <c r="AF74" s="1">
        <v>1712</v>
      </c>
      <c r="AG74" s="1">
        <v>1899</v>
      </c>
      <c r="AH74" s="1">
        <v>2225</v>
      </c>
      <c r="AI74" s="1">
        <v>2491</v>
      </c>
      <c r="AJ74" s="1">
        <v>2596</v>
      </c>
      <c r="AK74" s="1">
        <v>2889</v>
      </c>
      <c r="AL74" s="1">
        <v>3328</v>
      </c>
      <c r="AM74" s="1">
        <v>4063</v>
      </c>
      <c r="AN74" s="1">
        <v>4168</v>
      </c>
      <c r="AO74" s="1">
        <v>4128</v>
      </c>
      <c r="AP74" s="1">
        <v>4280</v>
      </c>
      <c r="AQ74" s="1">
        <v>4483</v>
      </c>
      <c r="AR74" s="1">
        <v>4748</v>
      </c>
      <c r="AS74" s="1">
        <v>4788</v>
      </c>
      <c r="AT74" s="1">
        <v>5174</v>
      </c>
      <c r="AU74" s="1">
        <v>5471</v>
      </c>
      <c r="AV74" s="1">
        <v>8041</v>
      </c>
      <c r="AW74" s="1">
        <v>14718</v>
      </c>
      <c r="AX74" s="1">
        <v>16919</v>
      </c>
      <c r="AY74" s="1">
        <v>24659</v>
      </c>
      <c r="AZ74" s="1">
        <v>25822</v>
      </c>
    </row>
    <row r="75" spans="1:52" x14ac:dyDescent="0.3">
      <c r="A75" t="s">
        <v>74</v>
      </c>
      <c r="B75" s="1">
        <v>681</v>
      </c>
      <c r="C75" s="1">
        <v>879</v>
      </c>
      <c r="D75" s="1">
        <v>947</v>
      </c>
      <c r="E75" s="1">
        <v>974</v>
      </c>
      <c r="F75" s="1">
        <v>1081</v>
      </c>
      <c r="G75" s="1">
        <v>2664</v>
      </c>
      <c r="H75" s="1">
        <v>2932</v>
      </c>
      <c r="I75" s="1">
        <v>3050</v>
      </c>
      <c r="J75" s="1">
        <v>3273</v>
      </c>
      <c r="K75" s="1">
        <v>3627</v>
      </c>
      <c r="L75" s="1">
        <v>4028</v>
      </c>
      <c r="M75" s="1">
        <v>4475</v>
      </c>
      <c r="N75" s="1">
        <v>2205</v>
      </c>
      <c r="O75" s="1">
        <v>1450</v>
      </c>
      <c r="P75" s="1">
        <v>1340</v>
      </c>
      <c r="Q75" s="1">
        <v>1706</v>
      </c>
      <c r="R75" s="1">
        <v>1530</v>
      </c>
      <c r="S75" s="1">
        <v>918</v>
      </c>
      <c r="T75" s="1">
        <v>1107</v>
      </c>
      <c r="U75" s="1">
        <v>3054</v>
      </c>
      <c r="V75" s="1">
        <v>4846</v>
      </c>
      <c r="W75" s="1">
        <v>5000</v>
      </c>
      <c r="X75" s="1">
        <v>5748</v>
      </c>
      <c r="Y75" s="1">
        <v>6408</v>
      </c>
      <c r="Z75" s="1">
        <v>7148</v>
      </c>
      <c r="AA75" s="1">
        <v>6810</v>
      </c>
      <c r="AB75" s="1">
        <v>6285</v>
      </c>
      <c r="AC75" s="1">
        <v>6064</v>
      </c>
      <c r="AD75" s="1">
        <v>4866</v>
      </c>
      <c r="AE75" s="1">
        <v>6037</v>
      </c>
      <c r="AF75" s="1">
        <v>7186</v>
      </c>
      <c r="AG75" s="1">
        <v>7507</v>
      </c>
      <c r="AH75" s="1">
        <v>9522</v>
      </c>
      <c r="AI75" s="1">
        <v>10488</v>
      </c>
      <c r="AJ75" s="1">
        <v>11598</v>
      </c>
      <c r="AK75" s="1">
        <v>11852</v>
      </c>
      <c r="AL75" s="1">
        <v>13009</v>
      </c>
      <c r="AM75" s="1">
        <v>13709</v>
      </c>
      <c r="AN75" s="1">
        <v>14904</v>
      </c>
      <c r="AO75" s="1">
        <v>15137</v>
      </c>
      <c r="AP75" s="1">
        <v>14831</v>
      </c>
      <c r="AQ75" s="1">
        <v>13996</v>
      </c>
      <c r="AR75" s="1">
        <v>15036</v>
      </c>
      <c r="AS75" s="1">
        <v>16454</v>
      </c>
      <c r="AT75" s="1">
        <v>14787</v>
      </c>
      <c r="AU75" s="1">
        <v>14508</v>
      </c>
      <c r="AV75" s="1">
        <v>21017</v>
      </c>
      <c r="AW75" s="1">
        <v>19826</v>
      </c>
      <c r="AX75" s="1">
        <v>19603</v>
      </c>
      <c r="AY75" s="1">
        <v>26229</v>
      </c>
      <c r="AZ75" s="1">
        <v>33548</v>
      </c>
    </row>
    <row r="76" spans="1:52" x14ac:dyDescent="0.3">
      <c r="A76" t="s">
        <v>75</v>
      </c>
      <c r="B76" s="1">
        <v>1341</v>
      </c>
      <c r="C76" s="1">
        <v>1608</v>
      </c>
      <c r="D76" s="1">
        <v>1992</v>
      </c>
      <c r="E76" s="1">
        <v>2302</v>
      </c>
      <c r="F76" s="1">
        <v>2686</v>
      </c>
      <c r="G76" s="1">
        <v>3968</v>
      </c>
      <c r="H76" s="1">
        <v>4044</v>
      </c>
      <c r="I76" s="1">
        <v>4267</v>
      </c>
      <c r="J76" s="1">
        <v>4477</v>
      </c>
      <c r="K76" s="1">
        <v>4915</v>
      </c>
      <c r="L76" s="1">
        <v>5278</v>
      </c>
      <c r="M76" s="1">
        <v>5678</v>
      </c>
      <c r="N76" s="1">
        <v>6191</v>
      </c>
      <c r="O76" s="1">
        <v>6877</v>
      </c>
      <c r="P76" s="1">
        <v>7877</v>
      </c>
      <c r="Q76" s="1">
        <v>4923</v>
      </c>
      <c r="R76" s="1">
        <v>4649</v>
      </c>
      <c r="S76" s="1">
        <v>4944</v>
      </c>
      <c r="T76" s="1">
        <v>4961</v>
      </c>
      <c r="U76" s="1">
        <v>4642</v>
      </c>
      <c r="V76" s="1">
        <v>5415</v>
      </c>
      <c r="W76" s="1">
        <v>5217</v>
      </c>
      <c r="X76" s="1">
        <v>5736</v>
      </c>
      <c r="Y76" s="1">
        <v>6366</v>
      </c>
      <c r="Z76" s="1">
        <v>6417</v>
      </c>
      <c r="AA76" s="1">
        <v>7104</v>
      </c>
      <c r="AB76" s="1">
        <v>7568</v>
      </c>
      <c r="AC76" s="1">
        <v>7775</v>
      </c>
      <c r="AD76" s="1">
        <v>8139</v>
      </c>
      <c r="AE76" s="1">
        <v>8769</v>
      </c>
      <c r="AF76" s="1">
        <v>9672</v>
      </c>
      <c r="AG76" s="1">
        <v>10843</v>
      </c>
      <c r="AH76" s="1">
        <v>12276</v>
      </c>
      <c r="AI76" s="1">
        <v>13789</v>
      </c>
      <c r="AJ76" s="1">
        <v>14486</v>
      </c>
      <c r="AK76" s="1">
        <v>15730</v>
      </c>
      <c r="AL76" s="1">
        <v>17590</v>
      </c>
      <c r="AM76" s="1">
        <v>18399</v>
      </c>
      <c r="AN76" s="1">
        <v>18370</v>
      </c>
      <c r="AO76" s="1">
        <v>19617</v>
      </c>
      <c r="AP76" s="1">
        <v>20834</v>
      </c>
      <c r="AQ76" s="1">
        <v>21564</v>
      </c>
      <c r="AR76" s="1">
        <v>22982</v>
      </c>
      <c r="AS76" s="1">
        <v>23907</v>
      </c>
      <c r="AT76" s="1">
        <v>24711</v>
      </c>
      <c r="AU76" s="1">
        <v>23190</v>
      </c>
      <c r="AV76" s="1">
        <v>27950</v>
      </c>
      <c r="AW76" s="1">
        <v>31233</v>
      </c>
      <c r="AX76" s="1">
        <v>34229</v>
      </c>
      <c r="AY76" s="1">
        <v>36965</v>
      </c>
      <c r="AZ76" s="1">
        <v>38172</v>
      </c>
    </row>
    <row r="77" spans="1:52" x14ac:dyDescent="0.3">
      <c r="A77" t="s">
        <v>76</v>
      </c>
      <c r="B77" s="1">
        <v>10044</v>
      </c>
      <c r="C77" s="1">
        <v>12873</v>
      </c>
      <c r="D77" s="1">
        <v>15706</v>
      </c>
      <c r="E77" s="1">
        <v>18297</v>
      </c>
      <c r="F77" s="1">
        <v>22495</v>
      </c>
      <c r="G77" s="1">
        <v>28862</v>
      </c>
      <c r="H77" s="1">
        <v>31055</v>
      </c>
      <c r="I77" s="1">
        <v>32291</v>
      </c>
      <c r="J77" s="1">
        <v>29907</v>
      </c>
      <c r="K77" s="1">
        <v>33511</v>
      </c>
      <c r="L77" s="1">
        <v>35700</v>
      </c>
      <c r="M77" s="1">
        <v>41076</v>
      </c>
      <c r="N77" s="1">
        <v>50623</v>
      </c>
      <c r="O77" s="1">
        <v>59708</v>
      </c>
      <c r="P77" s="1">
        <v>68790</v>
      </c>
      <c r="Q77" s="1">
        <v>76929</v>
      </c>
      <c r="R77" s="1">
        <v>88960</v>
      </c>
      <c r="S77" s="1">
        <v>104272</v>
      </c>
      <c r="T77" s="1">
        <v>120354</v>
      </c>
      <c r="U77" s="1">
        <v>135812</v>
      </c>
      <c r="V77" s="1">
        <v>144652</v>
      </c>
      <c r="W77" s="1">
        <v>159718</v>
      </c>
      <c r="X77" s="1">
        <v>177349</v>
      </c>
      <c r="Y77" s="1">
        <v>168858</v>
      </c>
      <c r="Z77" s="1">
        <v>165734</v>
      </c>
      <c r="AA77" s="1">
        <v>171643</v>
      </c>
      <c r="AB77" s="1">
        <v>169381</v>
      </c>
      <c r="AC77" s="1">
        <v>166336</v>
      </c>
      <c r="AD77" s="1">
        <v>161370</v>
      </c>
      <c r="AE77" s="1">
        <v>169085</v>
      </c>
      <c r="AF77" s="1">
        <v>181556</v>
      </c>
      <c r="AG77" s="1">
        <v>193515</v>
      </c>
      <c r="AH77" s="1">
        <v>211583</v>
      </c>
      <c r="AI77" s="1">
        <v>219279</v>
      </c>
      <c r="AJ77" s="1">
        <v>214048</v>
      </c>
      <c r="AK77" s="1">
        <v>228639</v>
      </c>
      <c r="AL77" s="1">
        <v>248514</v>
      </c>
      <c r="AM77" s="1">
        <v>262629</v>
      </c>
      <c r="AN77" s="1">
        <v>275697</v>
      </c>
      <c r="AO77" s="1">
        <v>291460</v>
      </c>
      <c r="AP77" s="1">
        <v>309386</v>
      </c>
      <c r="AQ77" s="1">
        <v>320860</v>
      </c>
      <c r="AR77" s="1">
        <v>341271</v>
      </c>
      <c r="AS77" s="1">
        <v>361731</v>
      </c>
      <c r="AT77" s="1">
        <v>363075</v>
      </c>
      <c r="AU77" s="1">
        <v>344941</v>
      </c>
      <c r="AV77" s="1">
        <v>368954</v>
      </c>
      <c r="AW77" s="1">
        <v>358680</v>
      </c>
      <c r="AX77" s="1">
        <v>381066</v>
      </c>
      <c r="AY77" s="1">
        <v>407107</v>
      </c>
      <c r="AZ77" s="1">
        <v>423999</v>
      </c>
    </row>
    <row r="78" spans="1:52" x14ac:dyDescent="0.3">
      <c r="A78" t="s">
        <v>77</v>
      </c>
      <c r="B78" s="1">
        <v>12387</v>
      </c>
      <c r="C78" s="1">
        <v>14354</v>
      </c>
      <c r="D78" s="1">
        <v>16031</v>
      </c>
      <c r="E78" s="1">
        <v>18741</v>
      </c>
      <c r="F78" s="1">
        <v>21639</v>
      </c>
      <c r="G78" s="1">
        <v>23117</v>
      </c>
      <c r="H78" s="1">
        <v>23706</v>
      </c>
      <c r="I78" s="1">
        <v>24142</v>
      </c>
      <c r="J78" s="1">
        <v>21910</v>
      </c>
      <c r="K78" s="1">
        <v>21243</v>
      </c>
      <c r="L78" s="1">
        <v>21511</v>
      </c>
      <c r="M78" s="1">
        <v>24778</v>
      </c>
      <c r="N78" s="1">
        <v>27233</v>
      </c>
      <c r="O78" s="1">
        <v>29800</v>
      </c>
      <c r="P78" s="1">
        <v>30423</v>
      </c>
      <c r="Q78" s="1">
        <v>34478</v>
      </c>
      <c r="R78" s="1">
        <v>34867</v>
      </c>
      <c r="S78" s="1">
        <v>38857</v>
      </c>
      <c r="T78" s="1">
        <v>40256</v>
      </c>
      <c r="U78" s="1">
        <v>43308</v>
      </c>
      <c r="V78" s="1">
        <v>46578</v>
      </c>
      <c r="W78" s="1">
        <v>46834</v>
      </c>
      <c r="X78" s="1">
        <v>47399</v>
      </c>
      <c r="Y78" s="1">
        <v>48784</v>
      </c>
      <c r="Z78" s="1">
        <v>49160</v>
      </c>
      <c r="AA78" s="1">
        <v>47276</v>
      </c>
      <c r="AB78" s="1">
        <v>53800</v>
      </c>
      <c r="AC78" s="1">
        <v>67636</v>
      </c>
      <c r="AD78" s="1">
        <v>85190</v>
      </c>
      <c r="AE78" s="1">
        <v>104015</v>
      </c>
      <c r="AF78" s="1">
        <v>113098</v>
      </c>
      <c r="AG78" s="1">
        <v>115604</v>
      </c>
      <c r="AH78" s="1">
        <v>140123</v>
      </c>
      <c r="AI78" s="1">
        <v>158228</v>
      </c>
      <c r="AJ78" s="1">
        <v>130807</v>
      </c>
      <c r="AK78" s="1">
        <v>131899</v>
      </c>
      <c r="AL78" s="1">
        <v>141713</v>
      </c>
      <c r="AM78" s="1">
        <v>128470</v>
      </c>
      <c r="AN78" s="1">
        <v>135646</v>
      </c>
      <c r="AO78" s="1">
        <v>141129</v>
      </c>
      <c r="AP78" s="1">
        <v>125244</v>
      </c>
      <c r="AQ78" s="1">
        <v>128984</v>
      </c>
      <c r="AR78" s="1">
        <v>143335</v>
      </c>
      <c r="AS78" s="1">
        <v>161185</v>
      </c>
      <c r="AT78" s="1">
        <v>164927</v>
      </c>
      <c r="AU78" s="1">
        <v>158468</v>
      </c>
      <c r="AV78" s="1">
        <v>183283</v>
      </c>
      <c r="AW78" s="1">
        <v>178321</v>
      </c>
      <c r="AX78" s="1">
        <v>214098</v>
      </c>
      <c r="AY78" s="1">
        <v>223060</v>
      </c>
      <c r="AZ78" s="1">
        <v>237070</v>
      </c>
    </row>
    <row r="79" spans="1:52" x14ac:dyDescent="0.3">
      <c r="A79" t="s">
        <v>78</v>
      </c>
      <c r="B79" s="1">
        <v>1386</v>
      </c>
      <c r="C79" s="1">
        <v>1645</v>
      </c>
      <c r="D79" s="1">
        <v>2176</v>
      </c>
      <c r="E79" s="1">
        <v>2475</v>
      </c>
      <c r="F79" s="1">
        <v>2811</v>
      </c>
      <c r="G79" s="1">
        <v>3434</v>
      </c>
      <c r="H79" s="1">
        <v>3543</v>
      </c>
      <c r="I79" s="1">
        <v>3251</v>
      </c>
      <c r="J79" s="1">
        <v>2793</v>
      </c>
      <c r="K79" s="1">
        <v>2892</v>
      </c>
      <c r="L79" s="1">
        <v>3009</v>
      </c>
      <c r="M79" s="1">
        <v>4014</v>
      </c>
      <c r="N79" s="1">
        <v>5561</v>
      </c>
      <c r="O79" s="1">
        <v>6145</v>
      </c>
      <c r="P79" s="1">
        <v>5700</v>
      </c>
      <c r="Q79" s="1">
        <v>6504</v>
      </c>
      <c r="R79" s="1">
        <v>6949</v>
      </c>
      <c r="S79" s="1">
        <v>7105</v>
      </c>
      <c r="T79" s="1">
        <v>6225</v>
      </c>
      <c r="U79" s="1">
        <v>6393</v>
      </c>
      <c r="V79" s="1">
        <v>7124</v>
      </c>
      <c r="W79" s="1">
        <v>7426</v>
      </c>
      <c r="X79" s="1">
        <v>7570</v>
      </c>
      <c r="Y79" s="1">
        <v>8504</v>
      </c>
      <c r="Z79" s="1">
        <v>8982</v>
      </c>
      <c r="AA79" s="1">
        <v>9026</v>
      </c>
      <c r="AB79" s="1">
        <v>8235</v>
      </c>
      <c r="AC79" s="1">
        <v>9318</v>
      </c>
      <c r="AD79" s="1">
        <v>11429</v>
      </c>
      <c r="AE79" s="1">
        <v>13825</v>
      </c>
      <c r="AF79" s="1">
        <v>16853</v>
      </c>
      <c r="AG79" s="1">
        <v>17465</v>
      </c>
      <c r="AH79" s="1">
        <v>21653</v>
      </c>
      <c r="AI79" s="1">
        <v>18075</v>
      </c>
      <c r="AJ79" s="1">
        <v>13154</v>
      </c>
      <c r="AK79" s="1">
        <v>13751</v>
      </c>
      <c r="AL79" s="1">
        <v>15222</v>
      </c>
      <c r="AM79" s="1">
        <v>14752</v>
      </c>
      <c r="AN79" s="1">
        <v>16125</v>
      </c>
      <c r="AO79" s="1">
        <v>17868</v>
      </c>
      <c r="AP79" s="1">
        <v>17517</v>
      </c>
      <c r="AQ79" s="1">
        <v>20793</v>
      </c>
      <c r="AR79" s="1">
        <v>24728</v>
      </c>
      <c r="AS79" s="1">
        <v>26261</v>
      </c>
      <c r="AT79" s="1">
        <v>24681</v>
      </c>
      <c r="AU79" s="1">
        <v>21630</v>
      </c>
      <c r="AV79" s="1">
        <v>25770</v>
      </c>
      <c r="AW79" s="1">
        <v>28696</v>
      </c>
      <c r="AX79" s="1">
        <v>31452</v>
      </c>
      <c r="AY79" s="1">
        <v>33463</v>
      </c>
      <c r="AZ79" s="1">
        <v>35309</v>
      </c>
    </row>
    <row r="80" spans="1:52" x14ac:dyDescent="0.3">
      <c r="A80" t="s">
        <v>79</v>
      </c>
      <c r="B80" s="1">
        <v>100437</v>
      </c>
      <c r="C80" s="1">
        <v>101196</v>
      </c>
      <c r="D80" s="1">
        <v>117421</v>
      </c>
      <c r="E80" s="1">
        <v>135833</v>
      </c>
      <c r="F80" s="1">
        <v>150317</v>
      </c>
      <c r="G80" s="1">
        <v>186170</v>
      </c>
      <c r="H80" s="1">
        <v>193153</v>
      </c>
      <c r="I80" s="1">
        <v>200035</v>
      </c>
      <c r="J80" s="1">
        <v>218218</v>
      </c>
      <c r="K80" s="1">
        <v>211843</v>
      </c>
      <c r="L80" s="1">
        <v>233520</v>
      </c>
      <c r="M80" s="1">
        <v>248398</v>
      </c>
      <c r="N80" s="1">
        <v>278864</v>
      </c>
      <c r="O80" s="1">
        <v>294479</v>
      </c>
      <c r="P80" s="1">
        <v>296043</v>
      </c>
      <c r="Q80" s="1">
        <v>320979</v>
      </c>
      <c r="R80" s="1">
        <v>270105</v>
      </c>
      <c r="S80" s="1">
        <v>288210</v>
      </c>
      <c r="T80" s="1">
        <v>279295</v>
      </c>
      <c r="U80" s="1">
        <v>327275</v>
      </c>
      <c r="V80" s="1">
        <v>360281</v>
      </c>
      <c r="W80" s="1">
        <v>392902</v>
      </c>
      <c r="X80" s="1">
        <v>415895</v>
      </c>
      <c r="Y80" s="1">
        <v>421378</v>
      </c>
      <c r="Z80" s="1">
        <v>458821</v>
      </c>
      <c r="AA80" s="1">
        <v>468396</v>
      </c>
      <c r="AB80" s="1">
        <v>485440</v>
      </c>
      <c r="AC80" s="1">
        <v>514938</v>
      </c>
      <c r="AD80" s="1">
        <v>607701</v>
      </c>
      <c r="AE80" s="1">
        <v>709152</v>
      </c>
      <c r="AF80" s="1">
        <v>820385</v>
      </c>
      <c r="AG80" s="1">
        <v>940260</v>
      </c>
      <c r="AH80" s="1">
        <v>1216736</v>
      </c>
      <c r="AI80" s="1">
        <v>1198895</v>
      </c>
      <c r="AJ80" s="1">
        <v>1341889</v>
      </c>
      <c r="AK80" s="1">
        <v>1675615</v>
      </c>
      <c r="AL80" s="1">
        <v>1823052</v>
      </c>
      <c r="AM80" s="1">
        <v>1827637</v>
      </c>
      <c r="AN80" s="1">
        <v>1856721</v>
      </c>
      <c r="AO80" s="1">
        <v>2039127</v>
      </c>
      <c r="AP80" s="1">
        <v>2103588</v>
      </c>
      <c r="AQ80" s="1">
        <v>2294797</v>
      </c>
      <c r="AR80" s="1">
        <v>2651474</v>
      </c>
      <c r="AS80" s="1">
        <v>2702930</v>
      </c>
      <c r="AT80" s="1">
        <v>2835606</v>
      </c>
      <c r="AU80" s="1">
        <v>2674852</v>
      </c>
      <c r="AV80" s="1">
        <v>3167271</v>
      </c>
      <c r="AW80" s="1">
        <v>3346107</v>
      </c>
      <c r="AX80" s="1">
        <v>3638490</v>
      </c>
      <c r="AY80" s="1">
        <v>3909097</v>
      </c>
      <c r="AZ80" s="1">
        <v>4187017</v>
      </c>
    </row>
    <row r="81" spans="1:52" x14ac:dyDescent="0.3">
      <c r="A81" t="s">
        <v>80</v>
      </c>
      <c r="B81" s="1">
        <v>33472</v>
      </c>
      <c r="C81" s="1">
        <v>40948</v>
      </c>
      <c r="D81" s="1">
        <v>50331</v>
      </c>
      <c r="E81" s="1">
        <v>56535</v>
      </c>
      <c r="F81" s="1">
        <v>56473</v>
      </c>
      <c r="G81" s="1">
        <v>99296</v>
      </c>
      <c r="H81" s="1">
        <v>110848</v>
      </c>
      <c r="I81" s="1">
        <v>113799</v>
      </c>
      <c r="J81" s="1">
        <v>103149</v>
      </c>
      <c r="K81" s="1">
        <v>107218</v>
      </c>
      <c r="L81" s="1">
        <v>107062</v>
      </c>
      <c r="M81" s="1">
        <v>101220</v>
      </c>
      <c r="N81" s="1">
        <v>95214</v>
      </c>
      <c r="O81" s="1">
        <v>107279</v>
      </c>
      <c r="P81" s="1">
        <v>122582</v>
      </c>
      <c r="Q81" s="1">
        <v>138258</v>
      </c>
      <c r="R81" s="1">
        <v>154558</v>
      </c>
      <c r="S81" s="1">
        <v>168280</v>
      </c>
      <c r="T81" s="1">
        <v>190913</v>
      </c>
      <c r="U81" s="1">
        <v>213727</v>
      </c>
      <c r="V81" s="1">
        <v>244227</v>
      </c>
      <c r="W81" s="1">
        <v>274722</v>
      </c>
      <c r="X81" s="1">
        <v>260680</v>
      </c>
      <c r="Y81" s="1">
        <v>115323</v>
      </c>
      <c r="Z81" s="1">
        <v>169158</v>
      </c>
      <c r="AA81" s="1">
        <v>179482</v>
      </c>
      <c r="AB81" s="1">
        <v>174507</v>
      </c>
      <c r="AC81" s="1">
        <v>212807</v>
      </c>
      <c r="AD81" s="1">
        <v>255346</v>
      </c>
      <c r="AE81" s="1">
        <v>279344</v>
      </c>
      <c r="AF81" s="1">
        <v>310920</v>
      </c>
      <c r="AG81" s="1">
        <v>396518</v>
      </c>
      <c r="AH81" s="1">
        <v>470092</v>
      </c>
      <c r="AI81" s="1">
        <v>558291</v>
      </c>
      <c r="AJ81" s="1">
        <v>578577</v>
      </c>
      <c r="AK81" s="1">
        <v>755094</v>
      </c>
      <c r="AL81" s="1">
        <v>892969</v>
      </c>
      <c r="AM81" s="1">
        <v>917870</v>
      </c>
      <c r="AN81" s="1">
        <v>912524</v>
      </c>
      <c r="AO81" s="1">
        <v>890815</v>
      </c>
      <c r="AP81" s="1">
        <v>860854</v>
      </c>
      <c r="AQ81" s="1">
        <v>931877</v>
      </c>
      <c r="AR81" s="1">
        <v>1015619</v>
      </c>
      <c r="AS81" s="1">
        <v>1042272</v>
      </c>
      <c r="AT81" s="1">
        <v>1119100</v>
      </c>
      <c r="AU81" s="1">
        <v>1059055</v>
      </c>
      <c r="AV81" s="1">
        <v>1186510</v>
      </c>
      <c r="AW81" s="1">
        <v>1319101</v>
      </c>
      <c r="AX81" s="1">
        <v>1371169</v>
      </c>
      <c r="AY81" s="1">
        <v>1396300</v>
      </c>
      <c r="AZ81" s="1">
        <v>1429743</v>
      </c>
    </row>
    <row r="82" spans="1:52" x14ac:dyDescent="0.3">
      <c r="A82" t="s">
        <v>81</v>
      </c>
      <c r="B82" s="1">
        <v>48877</v>
      </c>
      <c r="C82" s="1">
        <v>63404</v>
      </c>
      <c r="D82" s="1">
        <v>74362</v>
      </c>
      <c r="E82" s="1">
        <v>73233</v>
      </c>
      <c r="F82" s="1">
        <v>85610</v>
      </c>
      <c r="G82" s="1">
        <v>95846</v>
      </c>
      <c r="H82" s="1">
        <v>101481</v>
      </c>
      <c r="I82" s="1">
        <v>125800</v>
      </c>
      <c r="J82" s="1">
        <v>156927</v>
      </c>
      <c r="K82" s="1">
        <v>161721</v>
      </c>
      <c r="L82" s="1">
        <v>180541</v>
      </c>
      <c r="M82" s="1">
        <v>208928</v>
      </c>
      <c r="N82" s="1">
        <v>277019</v>
      </c>
      <c r="O82" s="1">
        <v>311932</v>
      </c>
      <c r="P82" s="1">
        <v>379427</v>
      </c>
      <c r="Q82" s="1">
        <v>581008</v>
      </c>
      <c r="R82" s="1">
        <v>304065</v>
      </c>
      <c r="S82" s="1">
        <v>50472</v>
      </c>
      <c r="T82" s="1">
        <v>64449</v>
      </c>
      <c r="U82" s="1">
        <v>79818</v>
      </c>
      <c r="V82" s="1">
        <v>114941</v>
      </c>
      <c r="W82" s="1">
        <v>158032</v>
      </c>
      <c r="X82" s="1">
        <v>184138</v>
      </c>
      <c r="Y82" s="1">
        <v>205000</v>
      </c>
      <c r="Z82" s="1">
        <v>275092</v>
      </c>
      <c r="AA82" s="1">
        <v>366917</v>
      </c>
      <c r="AB82" s="1">
        <v>330978</v>
      </c>
      <c r="AC82" s="1">
        <v>132682</v>
      </c>
      <c r="AD82" s="1">
        <v>158416</v>
      </c>
      <c r="AE82" s="1">
        <v>188961</v>
      </c>
      <c r="AF82" s="1">
        <v>228428</v>
      </c>
      <c r="AG82" s="1">
        <v>272361</v>
      </c>
      <c r="AH82" s="1">
        <v>360928</v>
      </c>
      <c r="AI82" s="1">
        <v>425699</v>
      </c>
      <c r="AJ82" s="1">
        <v>440408</v>
      </c>
      <c r="AK82" s="1">
        <v>517899</v>
      </c>
      <c r="AL82" s="1">
        <v>625430</v>
      </c>
      <c r="AM82" s="1">
        <v>421882</v>
      </c>
      <c r="AN82" s="1">
        <v>428321</v>
      </c>
      <c r="AO82" s="1">
        <v>460809</v>
      </c>
      <c r="AP82" s="1">
        <v>408288</v>
      </c>
      <c r="AQ82" s="1">
        <v>458042</v>
      </c>
      <c r="AR82" s="1">
        <v>486829</v>
      </c>
      <c r="AS82" s="1">
        <v>332846</v>
      </c>
      <c r="AT82" s="1">
        <v>241658</v>
      </c>
      <c r="AU82" s="1">
        <v>195528</v>
      </c>
      <c r="AV82" s="1">
        <v>289294</v>
      </c>
      <c r="AW82" s="1">
        <v>376254</v>
      </c>
      <c r="AX82" s="1">
        <v>372820</v>
      </c>
      <c r="AY82" s="1">
        <v>401357</v>
      </c>
      <c r="AZ82" s="1">
        <v>341013</v>
      </c>
    </row>
    <row r="83" spans="1:52" x14ac:dyDescent="0.3">
      <c r="A83" t="s">
        <v>82</v>
      </c>
      <c r="B83" s="1">
        <v>4845</v>
      </c>
      <c r="C83" s="1">
        <v>6178</v>
      </c>
      <c r="D83" s="1">
        <v>6693</v>
      </c>
      <c r="E83" s="1">
        <v>8468</v>
      </c>
      <c r="F83" s="1">
        <v>11371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>
        <v>25984</v>
      </c>
      <c r="AB83" s="1">
        <v>21113</v>
      </c>
      <c r="AC83" s="1">
        <v>21063</v>
      </c>
      <c r="AD83" s="1">
        <v>15800</v>
      </c>
      <c r="AE83" s="1">
        <v>36642</v>
      </c>
      <c r="AF83" s="1">
        <v>50065</v>
      </c>
      <c r="AG83" s="1">
        <v>65144</v>
      </c>
      <c r="AH83" s="1">
        <v>88833</v>
      </c>
      <c r="AI83" s="1">
        <v>131614</v>
      </c>
      <c r="AJ83" s="1">
        <v>111660</v>
      </c>
      <c r="AK83" s="1">
        <v>138517</v>
      </c>
      <c r="AL83" s="1">
        <v>185750</v>
      </c>
      <c r="AM83" s="1">
        <v>218032</v>
      </c>
      <c r="AN83" s="1">
        <v>234638</v>
      </c>
      <c r="AO83" s="1">
        <v>234651</v>
      </c>
      <c r="AP83" s="1">
        <v>177634</v>
      </c>
      <c r="AQ83" s="1">
        <v>168429</v>
      </c>
      <c r="AR83" s="1">
        <v>190048</v>
      </c>
      <c r="AS83" s="1">
        <v>230189</v>
      </c>
      <c r="AT83" s="1">
        <v>236682</v>
      </c>
      <c r="AU83" s="1">
        <v>182576</v>
      </c>
      <c r="AV83" s="1">
        <v>210753</v>
      </c>
      <c r="AW83" s="1">
        <v>288059</v>
      </c>
      <c r="AX83" s="1">
        <v>270799</v>
      </c>
      <c r="AY83" s="1">
        <v>277478</v>
      </c>
      <c r="AZ83" s="1">
        <v>258020</v>
      </c>
    </row>
    <row r="84" spans="1:52" x14ac:dyDescent="0.3">
      <c r="A84" t="s">
        <v>83</v>
      </c>
      <c r="B84" s="1">
        <v>9279</v>
      </c>
      <c r="C84" s="1">
        <v>9285</v>
      </c>
      <c r="D84" s="1">
        <v>10972</v>
      </c>
      <c r="E84" s="1">
        <v>14254</v>
      </c>
      <c r="F84" s="1">
        <v>18023</v>
      </c>
      <c r="G84" s="1">
        <v>21425</v>
      </c>
      <c r="H84" s="1">
        <v>20423</v>
      </c>
      <c r="I84" s="1">
        <v>21313</v>
      </c>
      <c r="J84" s="1">
        <v>20618</v>
      </c>
      <c r="K84" s="1">
        <v>19883</v>
      </c>
      <c r="L84" s="1">
        <v>21168</v>
      </c>
      <c r="M84" s="1">
        <v>28516</v>
      </c>
      <c r="N84" s="1">
        <v>33660</v>
      </c>
      <c r="O84" s="1">
        <v>36875</v>
      </c>
      <c r="P84" s="1">
        <v>38030</v>
      </c>
      <c r="Q84" s="1">
        <v>48199</v>
      </c>
      <c r="R84" s="1">
        <v>48840</v>
      </c>
      <c r="S84" s="1">
        <v>54911</v>
      </c>
      <c r="T84" s="1">
        <v>51364</v>
      </c>
      <c r="U84" s="1">
        <v>55843</v>
      </c>
      <c r="V84" s="1">
        <v>69260</v>
      </c>
      <c r="W84" s="1">
        <v>75928</v>
      </c>
      <c r="X84" s="1">
        <v>82957</v>
      </c>
      <c r="Y84" s="1">
        <v>90305</v>
      </c>
      <c r="Z84" s="1">
        <v>98993</v>
      </c>
      <c r="AA84" s="1">
        <v>100253</v>
      </c>
      <c r="AB84" s="1">
        <v>109347</v>
      </c>
      <c r="AC84" s="1">
        <v>128505</v>
      </c>
      <c r="AD84" s="1">
        <v>164630</v>
      </c>
      <c r="AE84" s="1">
        <v>194283</v>
      </c>
      <c r="AF84" s="1">
        <v>211993</v>
      </c>
      <c r="AG84" s="1">
        <v>232193</v>
      </c>
      <c r="AH84" s="1">
        <v>270112</v>
      </c>
      <c r="AI84" s="1">
        <v>275417</v>
      </c>
      <c r="AJ84" s="1">
        <v>236187</v>
      </c>
      <c r="AK84" s="1">
        <v>222167</v>
      </c>
      <c r="AL84" s="1">
        <v>241295</v>
      </c>
      <c r="AM84" s="1">
        <v>227415</v>
      </c>
      <c r="AN84" s="1">
        <v>243305</v>
      </c>
      <c r="AO84" s="1">
        <v>266857</v>
      </c>
      <c r="AP84" s="1">
        <v>302422</v>
      </c>
      <c r="AQ84" s="1">
        <v>305649</v>
      </c>
      <c r="AR84" s="1">
        <v>348411</v>
      </c>
      <c r="AS84" s="1">
        <v>395641</v>
      </c>
      <c r="AT84" s="1">
        <v>407170</v>
      </c>
      <c r="AU84" s="1">
        <v>436205</v>
      </c>
      <c r="AV84" s="1">
        <v>531660</v>
      </c>
      <c r="AW84" s="1">
        <v>549003</v>
      </c>
      <c r="AX84" s="1">
        <v>551554</v>
      </c>
      <c r="AY84" s="1">
        <v>577216</v>
      </c>
      <c r="AZ84" s="1">
        <v>598840</v>
      </c>
    </row>
    <row r="85" spans="1:52" x14ac:dyDescent="0.3">
      <c r="A85" t="s">
        <v>84</v>
      </c>
      <c r="B85" s="1">
        <v>14502</v>
      </c>
      <c r="C85" s="1">
        <v>15243</v>
      </c>
      <c r="D85" s="1">
        <v>16495</v>
      </c>
      <c r="E85" s="1">
        <v>16232</v>
      </c>
      <c r="F85" s="1">
        <v>20891</v>
      </c>
      <c r="G85" s="1">
        <v>25071</v>
      </c>
      <c r="H85" s="1">
        <v>26565</v>
      </c>
      <c r="I85" s="1">
        <v>28470</v>
      </c>
      <c r="J85" s="1">
        <v>31752</v>
      </c>
      <c r="K85" s="1">
        <v>30059</v>
      </c>
      <c r="L85" s="1">
        <v>27938</v>
      </c>
      <c r="M85" s="1">
        <v>34394</v>
      </c>
      <c r="N85" s="1">
        <v>41080</v>
      </c>
      <c r="O85" s="1">
        <v>50888</v>
      </c>
      <c r="P85" s="1">
        <v>51777</v>
      </c>
      <c r="Q85" s="1">
        <v>61097</v>
      </c>
      <c r="R85" s="1">
        <v>69307</v>
      </c>
      <c r="S85" s="1">
        <v>77446</v>
      </c>
      <c r="T85" s="1">
        <v>77837</v>
      </c>
      <c r="U85" s="1">
        <v>88852</v>
      </c>
      <c r="V85" s="1">
        <v>105553</v>
      </c>
      <c r="W85" s="1">
        <v>115181</v>
      </c>
      <c r="X85" s="1">
        <v>119516</v>
      </c>
      <c r="Y85" s="1">
        <v>120586</v>
      </c>
      <c r="Z85" s="1">
        <v>121425</v>
      </c>
      <c r="AA85" s="1">
        <v>136516</v>
      </c>
      <c r="AB85" s="1">
        <v>134990</v>
      </c>
      <c r="AC85" s="1">
        <v>125339</v>
      </c>
      <c r="AD85" s="1">
        <v>131544</v>
      </c>
      <c r="AE85" s="1">
        <v>140162</v>
      </c>
      <c r="AF85" s="1">
        <v>147442</v>
      </c>
      <c r="AG85" s="1">
        <v>159076</v>
      </c>
      <c r="AH85" s="1">
        <v>184706</v>
      </c>
      <c r="AI85" s="1">
        <v>221231</v>
      </c>
      <c r="AJ85" s="1">
        <v>213401</v>
      </c>
      <c r="AK85" s="1">
        <v>239679</v>
      </c>
      <c r="AL85" s="1">
        <v>268095</v>
      </c>
      <c r="AM85" s="1">
        <v>263591</v>
      </c>
      <c r="AN85" s="1">
        <v>298479</v>
      </c>
      <c r="AO85" s="1">
        <v>315019</v>
      </c>
      <c r="AP85" s="1">
        <v>303469</v>
      </c>
      <c r="AQ85" s="1">
        <v>321941</v>
      </c>
      <c r="AR85" s="1">
        <v>358453</v>
      </c>
      <c r="AS85" s="1">
        <v>376301</v>
      </c>
      <c r="AT85" s="1">
        <v>400648</v>
      </c>
      <c r="AU85" s="1">
        <v>410771</v>
      </c>
      <c r="AV85" s="1">
        <v>489854</v>
      </c>
      <c r="AW85" s="1">
        <v>525183</v>
      </c>
      <c r="AX85" s="1">
        <v>512185</v>
      </c>
      <c r="AY85" s="1">
        <v>540381</v>
      </c>
      <c r="AZ85" s="1">
        <v>583361</v>
      </c>
    </row>
    <row r="86" spans="1:52" x14ac:dyDescent="0.3">
      <c r="A86" t="s">
        <v>85</v>
      </c>
      <c r="B86" s="1">
        <v>220469</v>
      </c>
      <c r="C86" s="1">
        <v>217583</v>
      </c>
      <c r="D86" s="1">
        <v>249389</v>
      </c>
      <c r="E86" s="1">
        <v>305032</v>
      </c>
      <c r="F86" s="1">
        <v>381143</v>
      </c>
      <c r="G86" s="1">
        <v>479967</v>
      </c>
      <c r="H86" s="1">
        <v>435267</v>
      </c>
      <c r="I86" s="1">
        <v>430169</v>
      </c>
      <c r="J86" s="1">
        <v>446399</v>
      </c>
      <c r="K86" s="1">
        <v>441048</v>
      </c>
      <c r="L86" s="1">
        <v>455457</v>
      </c>
      <c r="M86" s="1">
        <v>645071</v>
      </c>
      <c r="N86" s="1">
        <v>809632</v>
      </c>
      <c r="O86" s="1">
        <v>897006</v>
      </c>
      <c r="P86" s="1">
        <v>932931</v>
      </c>
      <c r="Q86" s="1">
        <v>1164328</v>
      </c>
      <c r="R86" s="1">
        <v>1229898</v>
      </c>
      <c r="S86" s="1">
        <v>1305099</v>
      </c>
      <c r="T86" s="1">
        <v>1049470</v>
      </c>
      <c r="U86" s="1">
        <v>1082455</v>
      </c>
      <c r="V86" s="1">
        <v>1177984</v>
      </c>
      <c r="W86" s="1">
        <v>1315136</v>
      </c>
      <c r="X86" s="1">
        <v>1246340</v>
      </c>
      <c r="Y86" s="1">
        <v>1274381</v>
      </c>
      <c r="Z86" s="1">
        <v>1256251</v>
      </c>
      <c r="AA86" s="1">
        <v>1150169</v>
      </c>
      <c r="AB86" s="1">
        <v>1172049</v>
      </c>
      <c r="AC86" s="1">
        <v>1280841</v>
      </c>
      <c r="AD86" s="1">
        <v>1582534</v>
      </c>
      <c r="AE86" s="1">
        <v>1811987</v>
      </c>
      <c r="AF86" s="1">
        <v>1866013</v>
      </c>
      <c r="AG86" s="1">
        <v>1958667</v>
      </c>
      <c r="AH86" s="1">
        <v>2222785</v>
      </c>
      <c r="AI86" s="1">
        <v>2417242</v>
      </c>
      <c r="AJ86" s="1">
        <v>2207085</v>
      </c>
      <c r="AK86" s="1">
        <v>2146687</v>
      </c>
      <c r="AL86" s="1">
        <v>2306568</v>
      </c>
      <c r="AM86" s="1">
        <v>2099259</v>
      </c>
      <c r="AN86" s="1">
        <v>2153259</v>
      </c>
      <c r="AO86" s="1">
        <v>2173815</v>
      </c>
      <c r="AP86" s="1">
        <v>1845615</v>
      </c>
      <c r="AQ86" s="1">
        <v>1886590</v>
      </c>
      <c r="AR86" s="1">
        <v>1970027</v>
      </c>
      <c r="AS86" s="1">
        <v>2100387</v>
      </c>
      <c r="AT86" s="1">
        <v>2019831</v>
      </c>
      <c r="AU86" s="1">
        <v>1905956</v>
      </c>
      <c r="AV86" s="1">
        <v>2180656</v>
      </c>
      <c r="AW86" s="1">
        <v>2105722</v>
      </c>
      <c r="AX86" s="1">
        <v>2305271</v>
      </c>
      <c r="AY86" s="1">
        <v>2372059</v>
      </c>
      <c r="AZ86" s="1">
        <v>2422855</v>
      </c>
    </row>
    <row r="87" spans="1:52" x14ac:dyDescent="0.3">
      <c r="A87" t="s">
        <v>86</v>
      </c>
      <c r="B87" s="1">
        <v>3894</v>
      </c>
      <c r="C87" s="1">
        <v>4662</v>
      </c>
      <c r="D87" s="1">
        <v>6265</v>
      </c>
      <c r="E87" s="1">
        <v>7901</v>
      </c>
      <c r="F87" s="1">
        <v>9142</v>
      </c>
      <c r="G87" s="1">
        <v>13877</v>
      </c>
      <c r="H87" s="1">
        <v>11502</v>
      </c>
      <c r="I87" s="1">
        <v>10320</v>
      </c>
      <c r="J87" s="1">
        <v>9312</v>
      </c>
      <c r="K87" s="1">
        <v>9284</v>
      </c>
      <c r="L87" s="1">
        <v>9470</v>
      </c>
      <c r="M87" s="1">
        <v>12675</v>
      </c>
      <c r="N87" s="1">
        <v>13944</v>
      </c>
      <c r="O87" s="1">
        <v>14092</v>
      </c>
      <c r="P87" s="1">
        <v>13487</v>
      </c>
      <c r="Q87" s="1">
        <v>14923</v>
      </c>
      <c r="R87" s="1">
        <v>14504</v>
      </c>
      <c r="S87" s="1">
        <v>15416</v>
      </c>
      <c r="T87" s="1">
        <v>15268</v>
      </c>
      <c r="U87" s="1">
        <v>11492</v>
      </c>
      <c r="V87" s="1">
        <v>15205</v>
      </c>
      <c r="W87" s="1">
        <v>16780</v>
      </c>
      <c r="X87" s="1">
        <v>16203</v>
      </c>
      <c r="Y87" s="1">
        <v>17433</v>
      </c>
      <c r="Z87" s="1">
        <v>17114</v>
      </c>
      <c r="AA87" s="1">
        <v>14851</v>
      </c>
      <c r="AB87" s="1">
        <v>15485</v>
      </c>
      <c r="AC87" s="1">
        <v>17148</v>
      </c>
      <c r="AD87" s="1">
        <v>21206</v>
      </c>
      <c r="AE87" s="1">
        <v>22924</v>
      </c>
      <c r="AF87" s="1">
        <v>23626</v>
      </c>
      <c r="AG87" s="1">
        <v>24628</v>
      </c>
      <c r="AH87" s="1">
        <v>28158</v>
      </c>
      <c r="AI87" s="1">
        <v>33621</v>
      </c>
      <c r="AJ87" s="1">
        <v>33693</v>
      </c>
      <c r="AK87" s="1">
        <v>34431</v>
      </c>
      <c r="AL87" s="1">
        <v>35529</v>
      </c>
      <c r="AM87" s="1">
        <v>37030</v>
      </c>
      <c r="AN87" s="1">
        <v>43228</v>
      </c>
      <c r="AO87" s="1">
        <v>48882</v>
      </c>
      <c r="AP87" s="1">
        <v>45815</v>
      </c>
      <c r="AQ87" s="1">
        <v>48408</v>
      </c>
      <c r="AR87" s="1">
        <v>52512</v>
      </c>
      <c r="AS87" s="1">
        <v>58522</v>
      </c>
      <c r="AT87" s="1">
        <v>60383</v>
      </c>
      <c r="AU87" s="1">
        <v>63119</v>
      </c>
      <c r="AV87" s="1">
        <v>72833</v>
      </c>
      <c r="AW87" s="1">
        <v>71075</v>
      </c>
      <c r="AX87" s="1">
        <v>79630</v>
      </c>
      <c r="AY87" s="1">
        <v>87096</v>
      </c>
      <c r="AZ87" s="1">
        <v>94483</v>
      </c>
    </row>
    <row r="88" spans="1:52" x14ac:dyDescent="0.3">
      <c r="A88" t="s">
        <v>87</v>
      </c>
      <c r="B88" s="1">
        <v>3251</v>
      </c>
      <c r="C88" s="1">
        <v>3371</v>
      </c>
      <c r="D88" s="1">
        <v>3694</v>
      </c>
      <c r="E88" s="1">
        <v>3006</v>
      </c>
      <c r="F88" s="1">
        <v>2765</v>
      </c>
      <c r="G88" s="1">
        <v>2565</v>
      </c>
      <c r="H88" s="1">
        <v>2817</v>
      </c>
      <c r="I88" s="1">
        <v>3235</v>
      </c>
      <c r="J88" s="1">
        <v>2875</v>
      </c>
      <c r="K88" s="1">
        <v>2119</v>
      </c>
      <c r="L88" s="1">
        <v>1993</v>
      </c>
      <c r="M88" s="1">
        <v>2369</v>
      </c>
      <c r="N88" s="1">
        <v>2672</v>
      </c>
      <c r="O88" s="1">
        <v>3184</v>
      </c>
      <c r="P88" s="1">
        <v>3692</v>
      </c>
      <c r="Q88" s="1">
        <v>4663</v>
      </c>
      <c r="R88" s="1">
        <v>4285</v>
      </c>
      <c r="S88" s="1">
        <v>4328</v>
      </c>
      <c r="T88" s="1">
        <v>5440</v>
      </c>
      <c r="U88" s="1">
        <v>5453</v>
      </c>
      <c r="V88" s="1">
        <v>6549</v>
      </c>
      <c r="W88" s="1">
        <v>7394</v>
      </c>
      <c r="X88" s="1">
        <v>8400</v>
      </c>
      <c r="Y88" s="1">
        <v>8787</v>
      </c>
      <c r="Z88" s="1">
        <v>8887</v>
      </c>
      <c r="AA88" s="1">
        <v>9065</v>
      </c>
      <c r="AB88" s="1">
        <v>9195</v>
      </c>
      <c r="AC88" s="1">
        <v>9719</v>
      </c>
      <c r="AD88" s="1">
        <v>9430</v>
      </c>
      <c r="AE88" s="1">
        <v>10175</v>
      </c>
      <c r="AF88" s="1">
        <v>11233</v>
      </c>
      <c r="AG88" s="1">
        <v>11946</v>
      </c>
      <c r="AH88" s="1">
        <v>12881</v>
      </c>
      <c r="AI88" s="1">
        <v>13743</v>
      </c>
      <c r="AJ88" s="1">
        <v>12107</v>
      </c>
      <c r="AK88" s="1">
        <v>13193</v>
      </c>
      <c r="AL88" s="1">
        <v>14413</v>
      </c>
      <c r="AM88" s="1">
        <v>14765</v>
      </c>
      <c r="AN88" s="1">
        <v>14213</v>
      </c>
      <c r="AO88" s="1">
        <v>13865</v>
      </c>
      <c r="AP88" s="1">
        <v>14154</v>
      </c>
      <c r="AQ88" s="1">
        <v>14108</v>
      </c>
      <c r="AR88" s="1">
        <v>14755</v>
      </c>
      <c r="AS88" s="1">
        <v>15648</v>
      </c>
      <c r="AT88" s="1">
        <v>15808</v>
      </c>
      <c r="AU88" s="1">
        <v>13885</v>
      </c>
      <c r="AV88" s="1">
        <v>14674</v>
      </c>
      <c r="AW88" s="1">
        <v>17003</v>
      </c>
      <c r="AX88" s="1">
        <v>19315</v>
      </c>
      <c r="AY88" s="1">
        <v>20069</v>
      </c>
      <c r="AZ88" s="1">
        <v>21411</v>
      </c>
    </row>
    <row r="89" spans="1:52" x14ac:dyDescent="0.3">
      <c r="A89" t="s">
        <v>88</v>
      </c>
      <c r="B89" s="1">
        <v>512861</v>
      </c>
      <c r="C89" s="1">
        <v>576406</v>
      </c>
      <c r="D89" s="1">
        <v>709405</v>
      </c>
      <c r="E89" s="1">
        <v>996742</v>
      </c>
      <c r="F89" s="1">
        <v>1037453</v>
      </c>
      <c r="G89" s="1">
        <v>1129378</v>
      </c>
      <c r="H89" s="1">
        <v>1245221</v>
      </c>
      <c r="I89" s="1">
        <v>1158731</v>
      </c>
      <c r="J89" s="1">
        <v>1270860</v>
      </c>
      <c r="K89" s="1">
        <v>1345825</v>
      </c>
      <c r="L89" s="1">
        <v>1427020</v>
      </c>
      <c r="M89" s="1">
        <v>2120084</v>
      </c>
      <c r="N89" s="1">
        <v>2580749</v>
      </c>
      <c r="O89" s="1">
        <v>3125725</v>
      </c>
      <c r="P89" s="1">
        <v>3109455</v>
      </c>
      <c r="Q89" s="1">
        <v>3185904</v>
      </c>
      <c r="R89" s="1">
        <v>3648066</v>
      </c>
      <c r="S89" s="1">
        <v>3980703</v>
      </c>
      <c r="T89" s="1">
        <v>4536941</v>
      </c>
      <c r="U89" s="1">
        <v>4998798</v>
      </c>
      <c r="V89" s="1">
        <v>5545566</v>
      </c>
      <c r="W89" s="1">
        <v>4923393</v>
      </c>
      <c r="X89" s="1">
        <v>4492449</v>
      </c>
      <c r="Y89" s="1">
        <v>4098363</v>
      </c>
      <c r="Z89" s="1">
        <v>4635982</v>
      </c>
      <c r="AA89" s="1">
        <v>4968360</v>
      </c>
      <c r="AB89" s="1">
        <v>4374710</v>
      </c>
      <c r="AC89" s="1">
        <v>4182845</v>
      </c>
      <c r="AD89" s="1">
        <v>4519564</v>
      </c>
      <c r="AE89" s="1">
        <v>4893135</v>
      </c>
      <c r="AF89" s="1">
        <v>4831467</v>
      </c>
      <c r="AG89" s="1">
        <v>4601663</v>
      </c>
      <c r="AH89" s="1">
        <v>4579750</v>
      </c>
      <c r="AI89" s="1">
        <v>5106679</v>
      </c>
      <c r="AJ89" s="1">
        <v>5289494</v>
      </c>
      <c r="AK89" s="1">
        <v>5759072</v>
      </c>
      <c r="AL89" s="1">
        <v>6233148</v>
      </c>
      <c r="AM89" s="1">
        <v>6272362</v>
      </c>
      <c r="AN89" s="1">
        <v>5212328</v>
      </c>
      <c r="AO89" s="1">
        <v>4896995</v>
      </c>
      <c r="AP89" s="1">
        <v>4444931</v>
      </c>
      <c r="AQ89" s="1">
        <v>5003678</v>
      </c>
      <c r="AR89" s="1">
        <v>4930837</v>
      </c>
      <c r="AS89" s="1">
        <v>5040881</v>
      </c>
      <c r="AT89" s="1">
        <v>5117995</v>
      </c>
      <c r="AU89" s="1">
        <v>5054069</v>
      </c>
      <c r="AV89" s="1">
        <v>5039148</v>
      </c>
      <c r="AW89" s="1">
        <v>4262146</v>
      </c>
      <c r="AX89" s="1">
        <v>4213167</v>
      </c>
      <c r="AY89" s="1">
        <v>4026211</v>
      </c>
      <c r="AZ89" s="1">
        <v>4186431</v>
      </c>
    </row>
    <row r="90" spans="1:52" x14ac:dyDescent="0.3">
      <c r="A90" t="s">
        <v>89</v>
      </c>
      <c r="B90" s="1">
        <v>1220</v>
      </c>
      <c r="C90" s="1">
        <v>1574</v>
      </c>
      <c r="D90" s="1">
        <v>1937</v>
      </c>
      <c r="E90" s="1">
        <v>2562</v>
      </c>
      <c r="F90" s="1">
        <v>3103</v>
      </c>
      <c r="G90" s="1">
        <v>3932</v>
      </c>
      <c r="H90" s="1">
        <v>4416</v>
      </c>
      <c r="I90" s="1">
        <v>4713</v>
      </c>
      <c r="J90" s="1">
        <v>4953</v>
      </c>
      <c r="K90" s="1">
        <v>5003</v>
      </c>
      <c r="L90" s="1">
        <v>5033</v>
      </c>
      <c r="M90" s="1">
        <v>6445</v>
      </c>
      <c r="N90" s="1">
        <v>6794</v>
      </c>
      <c r="O90" s="1">
        <v>6364</v>
      </c>
      <c r="P90" s="1">
        <v>4279</v>
      </c>
      <c r="Q90" s="1">
        <v>4187</v>
      </c>
      <c r="R90" s="1">
        <v>4373</v>
      </c>
      <c r="S90" s="1">
        <v>5403</v>
      </c>
      <c r="T90" s="1">
        <v>5615</v>
      </c>
      <c r="U90" s="1">
        <v>6321</v>
      </c>
      <c r="V90" s="1">
        <v>6759</v>
      </c>
      <c r="W90" s="1">
        <v>7054</v>
      </c>
      <c r="X90" s="1">
        <v>7389</v>
      </c>
      <c r="Y90" s="1">
        <v>8163</v>
      </c>
      <c r="Z90" s="1">
        <v>8414</v>
      </c>
      <c r="AA90" s="1">
        <v>8725</v>
      </c>
      <c r="AB90" s="1">
        <v>9268</v>
      </c>
      <c r="AC90" s="1">
        <v>9972</v>
      </c>
      <c r="AD90" s="1">
        <v>10575</v>
      </c>
      <c r="AE90" s="1">
        <v>11771</v>
      </c>
      <c r="AF90" s="1">
        <v>13134</v>
      </c>
      <c r="AG90" s="1">
        <v>15795</v>
      </c>
      <c r="AH90" s="1">
        <v>17957</v>
      </c>
      <c r="AI90" s="1">
        <v>22648</v>
      </c>
      <c r="AJ90" s="1">
        <v>24538</v>
      </c>
      <c r="AK90" s="1">
        <v>27134</v>
      </c>
      <c r="AL90" s="1">
        <v>29524</v>
      </c>
      <c r="AM90" s="1">
        <v>31679</v>
      </c>
      <c r="AN90" s="1">
        <v>34503</v>
      </c>
      <c r="AO90" s="1">
        <v>36900</v>
      </c>
      <c r="AP90" s="1">
        <v>38642</v>
      </c>
      <c r="AQ90" s="1">
        <v>39949</v>
      </c>
      <c r="AR90" s="1">
        <v>41667</v>
      </c>
      <c r="AS90" s="1">
        <v>43432</v>
      </c>
      <c r="AT90" s="1">
        <v>44566</v>
      </c>
      <c r="AU90" s="1">
        <v>43762</v>
      </c>
      <c r="AV90" s="1">
        <v>46362</v>
      </c>
      <c r="AW90" s="1">
        <v>48722</v>
      </c>
      <c r="AX90" s="1">
        <v>51161</v>
      </c>
      <c r="AY90" s="1">
        <v>53428</v>
      </c>
      <c r="AZ90" s="1">
        <v>56102</v>
      </c>
    </row>
    <row r="91" spans="1:52" x14ac:dyDescent="0.3">
      <c r="A91" t="s">
        <v>90</v>
      </c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>
        <v>2875</v>
      </c>
      <c r="T91" s="1">
        <v>5152</v>
      </c>
      <c r="U91" s="1">
        <v>11881</v>
      </c>
      <c r="V91" s="1">
        <v>16639</v>
      </c>
      <c r="W91" s="1">
        <v>21035</v>
      </c>
      <c r="X91" s="1">
        <v>22166</v>
      </c>
      <c r="Y91" s="1">
        <v>22135</v>
      </c>
      <c r="Z91" s="1">
        <v>16871</v>
      </c>
      <c r="AA91" s="1">
        <v>18292</v>
      </c>
      <c r="AB91" s="1">
        <v>22153</v>
      </c>
      <c r="AC91" s="1">
        <v>24637</v>
      </c>
      <c r="AD91" s="1">
        <v>30834</v>
      </c>
      <c r="AE91" s="1">
        <v>43152</v>
      </c>
      <c r="AF91" s="1">
        <v>57125</v>
      </c>
      <c r="AG91" s="1">
        <v>81003</v>
      </c>
      <c r="AH91" s="1">
        <v>104850</v>
      </c>
      <c r="AI91" s="1">
        <v>133442</v>
      </c>
      <c r="AJ91" s="1">
        <v>115309</v>
      </c>
      <c r="AK91" s="1">
        <v>148047</v>
      </c>
      <c r="AL91" s="1">
        <v>192626</v>
      </c>
      <c r="AM91" s="1">
        <v>207999</v>
      </c>
      <c r="AN91" s="1">
        <v>236635</v>
      </c>
      <c r="AO91" s="1">
        <v>221416</v>
      </c>
      <c r="AP91" s="1">
        <v>184388</v>
      </c>
      <c r="AQ91" s="1">
        <v>137278</v>
      </c>
      <c r="AR91" s="1">
        <v>166806</v>
      </c>
      <c r="AS91" s="1">
        <v>179340</v>
      </c>
      <c r="AT91" s="1">
        <v>181667</v>
      </c>
      <c r="AU91" s="1">
        <v>171082</v>
      </c>
      <c r="AV91" s="1">
        <v>197112</v>
      </c>
      <c r="AW91" s="1">
        <v>225496</v>
      </c>
      <c r="AX91" s="1">
        <v>261840</v>
      </c>
      <c r="AY91" s="1">
        <v>284810</v>
      </c>
      <c r="AZ91" s="1">
        <v>300538</v>
      </c>
    </row>
    <row r="92" spans="1:52" x14ac:dyDescent="0.3">
      <c r="A92" t="s">
        <v>91</v>
      </c>
      <c r="B92" s="1">
        <v>4206</v>
      </c>
      <c r="C92" s="1">
        <v>4483</v>
      </c>
      <c r="D92" s="1">
        <v>5794</v>
      </c>
      <c r="E92" s="1">
        <v>6860</v>
      </c>
      <c r="F92" s="1">
        <v>7869</v>
      </c>
      <c r="G92" s="1">
        <v>13449</v>
      </c>
      <c r="H92" s="1">
        <v>12667</v>
      </c>
      <c r="I92" s="1">
        <v>12196</v>
      </c>
      <c r="J92" s="1">
        <v>11279</v>
      </c>
      <c r="K92" s="1">
        <v>11703</v>
      </c>
      <c r="L92" s="1">
        <v>11646</v>
      </c>
      <c r="M92" s="1">
        <v>13832</v>
      </c>
      <c r="N92" s="1">
        <v>15163</v>
      </c>
      <c r="O92" s="1">
        <v>15721</v>
      </c>
      <c r="P92" s="1">
        <v>15586</v>
      </c>
      <c r="Q92" s="1">
        <v>16219</v>
      </c>
      <c r="R92" s="1">
        <v>15315</v>
      </c>
      <c r="S92" s="1">
        <v>15084</v>
      </c>
      <c r="T92" s="1">
        <v>10479</v>
      </c>
      <c r="U92" s="1">
        <v>12546</v>
      </c>
      <c r="V92" s="1">
        <v>15905</v>
      </c>
      <c r="W92" s="1">
        <v>18064</v>
      </c>
      <c r="X92" s="1">
        <v>18300</v>
      </c>
      <c r="Y92" s="1">
        <v>20630</v>
      </c>
      <c r="Z92" s="1">
        <v>18594</v>
      </c>
      <c r="AA92" s="1">
        <v>18206</v>
      </c>
      <c r="AB92" s="1">
        <v>18697</v>
      </c>
      <c r="AC92" s="1">
        <v>19030</v>
      </c>
      <c r="AD92" s="1">
        <v>21391</v>
      </c>
      <c r="AE92" s="1">
        <v>22790</v>
      </c>
      <c r="AF92" s="1">
        <v>26307</v>
      </c>
      <c r="AG92" s="1">
        <v>29668</v>
      </c>
      <c r="AH92" s="1">
        <v>36708</v>
      </c>
      <c r="AI92" s="1">
        <v>41058</v>
      </c>
      <c r="AJ92" s="1">
        <v>42347</v>
      </c>
      <c r="AK92" s="1">
        <v>45406</v>
      </c>
      <c r="AL92" s="1">
        <v>46555</v>
      </c>
      <c r="AM92" s="1">
        <v>56407</v>
      </c>
      <c r="AN92" s="1">
        <v>61703</v>
      </c>
      <c r="AO92" s="1">
        <v>68395</v>
      </c>
      <c r="AP92" s="1">
        <v>70370</v>
      </c>
      <c r="AQ92" s="1">
        <v>74816</v>
      </c>
      <c r="AR92" s="1">
        <v>81965</v>
      </c>
      <c r="AS92" s="1">
        <v>92211</v>
      </c>
      <c r="AT92" s="1">
        <v>100328</v>
      </c>
      <c r="AU92" s="1">
        <v>100912</v>
      </c>
      <c r="AV92" s="1">
        <v>109875</v>
      </c>
      <c r="AW92" s="1">
        <v>114733</v>
      </c>
      <c r="AX92" s="1">
        <v>108747</v>
      </c>
      <c r="AY92" s="1">
        <v>120899</v>
      </c>
      <c r="AZ92" s="1">
        <v>131673</v>
      </c>
    </row>
    <row r="93" spans="1:52" x14ac:dyDescent="0.3">
      <c r="A93" t="s">
        <v>92</v>
      </c>
      <c r="B93" s="1">
        <v>80</v>
      </c>
      <c r="C93" s="1">
        <v>60</v>
      </c>
      <c r="D93" s="1">
        <v>56</v>
      </c>
      <c r="E93" s="1">
        <v>65</v>
      </c>
      <c r="F93" s="1">
        <v>62</v>
      </c>
      <c r="G93" s="1">
        <v>33</v>
      </c>
      <c r="H93" s="1">
        <v>35</v>
      </c>
      <c r="I93" s="1">
        <v>33</v>
      </c>
      <c r="J93" s="1">
        <v>31</v>
      </c>
      <c r="K93" s="1">
        <v>34</v>
      </c>
      <c r="L93" s="1">
        <v>26</v>
      </c>
      <c r="M93" s="1">
        <v>26</v>
      </c>
      <c r="N93" s="1">
        <v>30</v>
      </c>
      <c r="O93" s="1">
        <v>38</v>
      </c>
      <c r="P93" s="1">
        <v>38</v>
      </c>
      <c r="Q93" s="1">
        <v>37</v>
      </c>
      <c r="R93" s="1">
        <v>41</v>
      </c>
      <c r="S93" s="1">
        <v>62</v>
      </c>
      <c r="T93" s="1">
        <v>59</v>
      </c>
      <c r="U93" s="1">
        <v>67</v>
      </c>
      <c r="V93" s="1">
        <v>69</v>
      </c>
      <c r="W93" s="1">
        <v>81</v>
      </c>
      <c r="X93" s="1">
        <v>80</v>
      </c>
      <c r="Y93" s="1">
        <v>75</v>
      </c>
      <c r="Z93" s="1">
        <v>77</v>
      </c>
      <c r="AA93" s="1">
        <v>75</v>
      </c>
      <c r="AB93" s="1">
        <v>65</v>
      </c>
      <c r="AC93" s="1">
        <v>75</v>
      </c>
      <c r="AD93" s="1">
        <v>97</v>
      </c>
      <c r="AE93" s="1">
        <v>104</v>
      </c>
      <c r="AF93" s="1">
        <v>114</v>
      </c>
      <c r="AG93" s="1">
        <v>112</v>
      </c>
      <c r="AH93" s="1">
        <v>138</v>
      </c>
      <c r="AI93" s="1">
        <v>150</v>
      </c>
      <c r="AJ93" s="1">
        <v>142</v>
      </c>
      <c r="AK93" s="1">
        <v>166</v>
      </c>
      <c r="AL93" s="1">
        <v>196</v>
      </c>
      <c r="AM93" s="1">
        <v>207</v>
      </c>
      <c r="AN93" s="1">
        <v>202</v>
      </c>
      <c r="AO93" s="1">
        <v>201</v>
      </c>
      <c r="AP93" s="1">
        <v>192</v>
      </c>
      <c r="AQ93" s="1">
        <v>207</v>
      </c>
      <c r="AR93" s="1">
        <v>223</v>
      </c>
      <c r="AS93" s="1">
        <v>234</v>
      </c>
      <c r="AT93" s="1">
        <v>217</v>
      </c>
      <c r="AU93" s="1">
        <v>222</v>
      </c>
      <c r="AV93" s="1">
        <v>285</v>
      </c>
      <c r="AW93" s="1">
        <v>271</v>
      </c>
      <c r="AX93" s="1">
        <v>289</v>
      </c>
      <c r="AY93" s="1">
        <v>308</v>
      </c>
      <c r="AZ93" s="1">
        <v>312</v>
      </c>
    </row>
    <row r="94" spans="1:52" x14ac:dyDescent="0.3">
      <c r="A94" t="s">
        <v>93</v>
      </c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>
        <v>2217</v>
      </c>
      <c r="AB94" s="1">
        <v>2509</v>
      </c>
      <c r="AC94" s="1">
        <v>2730</v>
      </c>
      <c r="AD94" s="1">
        <v>3390</v>
      </c>
      <c r="AE94" s="1">
        <v>3710</v>
      </c>
      <c r="AF94" s="1">
        <v>3828</v>
      </c>
      <c r="AG94" s="1">
        <v>4019</v>
      </c>
      <c r="AH94" s="1">
        <v>4868</v>
      </c>
      <c r="AI94" s="1">
        <v>5202</v>
      </c>
      <c r="AJ94" s="1">
        <v>5030</v>
      </c>
      <c r="AK94" s="1">
        <v>5348</v>
      </c>
      <c r="AL94" s="1">
        <v>6340</v>
      </c>
      <c r="AM94" s="1">
        <v>6167</v>
      </c>
      <c r="AN94" s="1">
        <v>6735</v>
      </c>
      <c r="AO94" s="1">
        <v>7076</v>
      </c>
      <c r="AP94" s="1">
        <v>6296</v>
      </c>
      <c r="AQ94" s="1">
        <v>6681</v>
      </c>
      <c r="AR94" s="1">
        <v>7178</v>
      </c>
      <c r="AS94" s="1">
        <v>7882</v>
      </c>
      <c r="AT94" s="1">
        <v>7900</v>
      </c>
      <c r="AU94" s="1">
        <v>7728</v>
      </c>
      <c r="AV94" s="1">
        <v>9418</v>
      </c>
      <c r="AW94" s="1">
        <v>9375</v>
      </c>
      <c r="AX94" s="1">
        <v>10470</v>
      </c>
      <c r="AY94" s="1">
        <v>11151</v>
      </c>
      <c r="AZ94" s="1">
        <v>11274</v>
      </c>
    </row>
    <row r="95" spans="1:52" x14ac:dyDescent="0.3">
      <c r="A95" t="s">
        <v>94</v>
      </c>
      <c r="B95" s="1">
        <v>12016</v>
      </c>
      <c r="C95" s="1">
        <v>13120</v>
      </c>
      <c r="D95" s="1">
        <v>14140</v>
      </c>
      <c r="E95" s="1">
        <v>15502</v>
      </c>
      <c r="F95" s="1">
        <v>24750</v>
      </c>
      <c r="G95" s="1"/>
      <c r="H95" s="1">
        <v>25249</v>
      </c>
      <c r="I95" s="1">
        <v>21583</v>
      </c>
      <c r="J95" s="1">
        <v>20871</v>
      </c>
      <c r="K95" s="1">
        <v>21700</v>
      </c>
      <c r="L95" s="1">
        <v>21445</v>
      </c>
      <c r="M95" s="1">
        <v>17904</v>
      </c>
      <c r="N95" s="1">
        <v>22368</v>
      </c>
      <c r="O95" s="1">
        <v>20690</v>
      </c>
      <c r="P95" s="1">
        <v>24313</v>
      </c>
      <c r="Q95" s="1">
        <v>18239</v>
      </c>
      <c r="R95" s="1">
        <v>10791</v>
      </c>
      <c r="S95" s="1">
        <v>19871</v>
      </c>
      <c r="T95" s="1">
        <v>23955</v>
      </c>
      <c r="U95" s="1">
        <v>24859</v>
      </c>
      <c r="V95" s="1">
        <v>27186</v>
      </c>
      <c r="W95" s="1">
        <v>31491</v>
      </c>
      <c r="X95" s="1">
        <v>30350</v>
      </c>
      <c r="Y95" s="1">
        <v>25941</v>
      </c>
      <c r="Z95" s="1">
        <v>30126</v>
      </c>
      <c r="AA95" s="1">
        <v>37714</v>
      </c>
      <c r="AB95" s="1">
        <v>34906</v>
      </c>
      <c r="AC95" s="1">
        <v>38129</v>
      </c>
      <c r="AD95" s="1">
        <v>47869</v>
      </c>
      <c r="AE95" s="1">
        <v>59439</v>
      </c>
      <c r="AF95" s="1">
        <v>80799</v>
      </c>
      <c r="AG95" s="1">
        <v>101548</v>
      </c>
      <c r="AH95" s="1">
        <v>114608</v>
      </c>
      <c r="AI95" s="1">
        <v>147391</v>
      </c>
      <c r="AJ95" s="1">
        <v>105992</v>
      </c>
      <c r="AK95" s="1">
        <v>115401</v>
      </c>
      <c r="AL95" s="1">
        <v>154020</v>
      </c>
      <c r="AM95" s="1">
        <v>174066</v>
      </c>
      <c r="AN95" s="1">
        <v>174179</v>
      </c>
      <c r="AO95" s="1">
        <v>162695</v>
      </c>
      <c r="AP95" s="1">
        <v>114606</v>
      </c>
      <c r="AQ95" s="1">
        <v>109399</v>
      </c>
      <c r="AR95" s="1">
        <v>120688</v>
      </c>
      <c r="AS95" s="1">
        <v>138655</v>
      </c>
      <c r="AT95" s="1">
        <v>140855</v>
      </c>
      <c r="AU95" s="1">
        <v>111048</v>
      </c>
      <c r="AV95" s="1">
        <v>148455</v>
      </c>
      <c r="AW95" s="1">
        <v>183977</v>
      </c>
      <c r="AX95" s="1">
        <v>163716</v>
      </c>
      <c r="AY95" s="1">
        <v>158568</v>
      </c>
      <c r="AZ95" s="1">
        <v>153101</v>
      </c>
    </row>
    <row r="96" spans="1:52" x14ac:dyDescent="0.3">
      <c r="A96" t="s">
        <v>95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>
        <v>917</v>
      </c>
      <c r="T96" s="1">
        <v>665</v>
      </c>
      <c r="U96" s="1">
        <v>1108</v>
      </c>
      <c r="V96" s="1">
        <v>1493</v>
      </c>
      <c r="W96" s="1">
        <v>1822</v>
      </c>
      <c r="X96" s="1">
        <v>1767</v>
      </c>
      <c r="Y96" s="1">
        <v>1630</v>
      </c>
      <c r="Z96" s="1">
        <v>1242</v>
      </c>
      <c r="AA96" s="1">
        <v>1368</v>
      </c>
      <c r="AB96" s="1">
        <v>1525</v>
      </c>
      <c r="AC96" s="1">
        <v>1606</v>
      </c>
      <c r="AD96" s="1">
        <v>1920</v>
      </c>
      <c r="AE96" s="1">
        <v>2214</v>
      </c>
      <c r="AF96" s="1">
        <v>2459</v>
      </c>
      <c r="AG96" s="1">
        <v>2837</v>
      </c>
      <c r="AH96" s="1">
        <v>3807</v>
      </c>
      <c r="AI96" s="1">
        <v>5139</v>
      </c>
      <c r="AJ96" s="1">
        <v>4690</v>
      </c>
      <c r="AK96" s="1">
        <v>4794</v>
      </c>
      <c r="AL96" s="1">
        <v>6198</v>
      </c>
      <c r="AM96" s="1">
        <v>6604</v>
      </c>
      <c r="AN96" s="1">
        <v>7335</v>
      </c>
      <c r="AO96" s="1">
        <v>7467</v>
      </c>
      <c r="AP96" s="1">
        <v>6678</v>
      </c>
      <c r="AQ96" s="1">
        <v>6813</v>
      </c>
      <c r="AR96" s="1">
        <v>7703</v>
      </c>
      <c r="AS96" s="1">
        <v>8271</v>
      </c>
      <c r="AT96" s="1">
        <v>9372</v>
      </c>
      <c r="AU96" s="1">
        <v>8283</v>
      </c>
      <c r="AV96" s="1">
        <v>9256</v>
      </c>
      <c r="AW96" s="1">
        <v>12269</v>
      </c>
      <c r="AX96" s="1">
        <v>15187</v>
      </c>
      <c r="AY96" s="1">
        <v>17491</v>
      </c>
      <c r="AZ96" s="1">
        <v>19849</v>
      </c>
    </row>
    <row r="97" spans="1:52" x14ac:dyDescent="0.3">
      <c r="A97" t="s">
        <v>96</v>
      </c>
      <c r="B97" s="1">
        <v>204</v>
      </c>
      <c r="C97" s="1">
        <v>222</v>
      </c>
      <c r="D97" s="1">
        <v>231</v>
      </c>
      <c r="E97" s="1">
        <v>250</v>
      </c>
      <c r="F97" s="1">
        <v>265</v>
      </c>
      <c r="G97" s="1">
        <v>1913</v>
      </c>
      <c r="H97" s="1">
        <v>1118</v>
      </c>
      <c r="I97" s="1">
        <v>1119</v>
      </c>
      <c r="J97" s="1">
        <v>2047</v>
      </c>
      <c r="K97" s="1">
        <v>2930</v>
      </c>
      <c r="L97" s="1">
        <v>3685</v>
      </c>
      <c r="M97" s="1">
        <v>2577</v>
      </c>
      <c r="N97" s="1">
        <v>1815</v>
      </c>
      <c r="O97" s="1">
        <v>1182</v>
      </c>
      <c r="P97" s="1">
        <v>1460</v>
      </c>
      <c r="Q97" s="1">
        <v>1742</v>
      </c>
      <c r="R97" s="1">
        <v>2053</v>
      </c>
      <c r="S97" s="1">
        <v>2354</v>
      </c>
      <c r="T97" s="1">
        <v>2652</v>
      </c>
      <c r="U97" s="1">
        <v>3081</v>
      </c>
      <c r="V97" s="1">
        <v>3579</v>
      </c>
      <c r="W97" s="1">
        <v>3726</v>
      </c>
      <c r="X97" s="1">
        <v>3515</v>
      </c>
      <c r="Y97" s="1">
        <v>1334</v>
      </c>
      <c r="Z97" s="1">
        <v>1415</v>
      </c>
      <c r="AA97" s="1">
        <v>1720</v>
      </c>
      <c r="AB97" s="1">
        <v>1757</v>
      </c>
      <c r="AC97" s="1">
        <v>1844</v>
      </c>
      <c r="AD97" s="1">
        <v>2260</v>
      </c>
      <c r="AE97" s="1">
        <v>2651</v>
      </c>
      <c r="AF97" s="1">
        <v>3079</v>
      </c>
      <c r="AG97" s="1">
        <v>3934</v>
      </c>
      <c r="AH97" s="1">
        <v>4757</v>
      </c>
      <c r="AI97" s="1">
        <v>5946</v>
      </c>
      <c r="AJ97" s="1">
        <v>6431</v>
      </c>
      <c r="AK97" s="1">
        <v>7506</v>
      </c>
      <c r="AL97" s="1">
        <v>8964</v>
      </c>
      <c r="AM97" s="1">
        <v>10194</v>
      </c>
      <c r="AN97" s="1">
        <v>11972</v>
      </c>
      <c r="AO97" s="1">
        <v>13266</v>
      </c>
      <c r="AP97" s="1">
        <v>14418</v>
      </c>
      <c r="AQ97" s="1">
        <v>15904</v>
      </c>
      <c r="AR97" s="1">
        <v>17055</v>
      </c>
      <c r="AS97" s="1">
        <v>18131</v>
      </c>
      <c r="AT97" s="1">
        <v>18770</v>
      </c>
      <c r="AU97" s="1">
        <v>18511</v>
      </c>
      <c r="AV97" s="1">
        <v>18533</v>
      </c>
      <c r="AW97" s="1">
        <v>15121</v>
      </c>
      <c r="AX97" s="1">
        <v>14978</v>
      </c>
      <c r="AY97" s="1">
        <v>15879</v>
      </c>
      <c r="AZ97" s="1">
        <v>16322</v>
      </c>
    </row>
    <row r="98" spans="1:52" x14ac:dyDescent="0.3">
      <c r="A98" t="s">
        <v>97</v>
      </c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>
        <v>1641</v>
      </c>
      <c r="T98" s="1">
        <v>2643</v>
      </c>
      <c r="U98" s="1">
        <v>4391</v>
      </c>
      <c r="V98" s="1">
        <v>5242</v>
      </c>
      <c r="W98" s="1">
        <v>5799</v>
      </c>
      <c r="X98" s="1">
        <v>6351</v>
      </c>
      <c r="Y98" s="1">
        <v>6977</v>
      </c>
      <c r="Z98" s="1">
        <v>7325</v>
      </c>
      <c r="AA98" s="1">
        <v>7765</v>
      </c>
      <c r="AB98" s="1">
        <v>8192</v>
      </c>
      <c r="AC98" s="1">
        <v>9256</v>
      </c>
      <c r="AD98" s="1">
        <v>11249</v>
      </c>
      <c r="AE98" s="1">
        <v>13831</v>
      </c>
      <c r="AF98" s="1">
        <v>16332</v>
      </c>
      <c r="AG98" s="1">
        <v>20453</v>
      </c>
      <c r="AH98" s="1">
        <v>29463</v>
      </c>
      <c r="AI98" s="1">
        <v>34296</v>
      </c>
      <c r="AJ98" s="1">
        <v>25758</v>
      </c>
      <c r="AK98" s="1">
        <v>23509</v>
      </c>
      <c r="AL98" s="1">
        <v>26832</v>
      </c>
      <c r="AM98" s="1">
        <v>27136</v>
      </c>
      <c r="AN98" s="1">
        <v>29157</v>
      </c>
      <c r="AO98" s="1">
        <v>30285</v>
      </c>
      <c r="AP98" s="1">
        <v>26347</v>
      </c>
      <c r="AQ98" s="1">
        <v>27110</v>
      </c>
      <c r="AR98" s="1">
        <v>29381</v>
      </c>
      <c r="AS98" s="1">
        <v>33263</v>
      </c>
      <c r="AT98" s="1">
        <v>33103</v>
      </c>
      <c r="AU98" s="1">
        <v>33353</v>
      </c>
      <c r="AV98" s="1">
        <v>38209</v>
      </c>
      <c r="AW98" s="1">
        <v>38045</v>
      </c>
      <c r="AX98" s="1">
        <v>42584</v>
      </c>
      <c r="AY98" s="1">
        <v>43508</v>
      </c>
      <c r="AZ98" s="1">
        <v>45535</v>
      </c>
    </row>
    <row r="99" spans="1:52" x14ac:dyDescent="0.3">
      <c r="A99" t="s">
        <v>98</v>
      </c>
      <c r="B99" s="1">
        <v>3258</v>
      </c>
      <c r="C99" s="1">
        <v>1427</v>
      </c>
      <c r="D99" s="1">
        <v>2529</v>
      </c>
      <c r="E99" s="1">
        <v>2977</v>
      </c>
      <c r="F99" s="1">
        <v>3633</v>
      </c>
      <c r="G99" s="1">
        <v>4020</v>
      </c>
      <c r="H99" s="1">
        <v>3843</v>
      </c>
      <c r="I99" s="1">
        <v>2621</v>
      </c>
      <c r="J99" s="1">
        <v>3611</v>
      </c>
      <c r="K99" s="1">
        <v>4269</v>
      </c>
      <c r="L99" s="1">
        <v>3566</v>
      </c>
      <c r="M99" s="1">
        <v>2780</v>
      </c>
      <c r="N99" s="1">
        <v>3254</v>
      </c>
      <c r="O99" s="1">
        <v>3269</v>
      </c>
      <c r="P99" s="1">
        <v>2682</v>
      </c>
      <c r="Q99" s="1">
        <v>2801</v>
      </c>
      <c r="R99" s="1">
        <v>4392</v>
      </c>
      <c r="S99" s="1">
        <v>5472</v>
      </c>
      <c r="T99" s="1">
        <v>7435</v>
      </c>
      <c r="U99" s="1">
        <v>8988</v>
      </c>
      <c r="V99" s="1">
        <v>10971</v>
      </c>
      <c r="W99" s="1">
        <v>12824</v>
      </c>
      <c r="X99" s="1">
        <v>15535</v>
      </c>
      <c r="Y99" s="1">
        <v>17059</v>
      </c>
      <c r="Z99" s="1">
        <v>17174</v>
      </c>
      <c r="AA99" s="1">
        <v>17018</v>
      </c>
      <c r="AB99" s="1">
        <v>17361</v>
      </c>
      <c r="AC99" s="1">
        <v>18837</v>
      </c>
      <c r="AD99" s="1">
        <v>19486</v>
      </c>
      <c r="AE99" s="1">
        <v>21160</v>
      </c>
      <c r="AF99" s="1">
        <v>21497</v>
      </c>
      <c r="AG99" s="1">
        <v>22023</v>
      </c>
      <c r="AH99" s="1">
        <v>24827</v>
      </c>
      <c r="AI99" s="1">
        <v>29119</v>
      </c>
      <c r="AJ99" s="1">
        <v>35400</v>
      </c>
      <c r="AK99" s="1">
        <v>38444</v>
      </c>
      <c r="AL99" s="1">
        <v>39927</v>
      </c>
      <c r="AM99" s="1">
        <v>44017</v>
      </c>
      <c r="AN99" s="1">
        <v>46880</v>
      </c>
      <c r="AO99" s="1">
        <v>48095</v>
      </c>
      <c r="AP99" s="1">
        <v>49929</v>
      </c>
      <c r="AQ99" s="1">
        <v>51150</v>
      </c>
      <c r="AR99" s="1">
        <v>53030</v>
      </c>
      <c r="AS99" s="1">
        <v>54900</v>
      </c>
      <c r="AT99" s="1">
        <v>50928</v>
      </c>
      <c r="AU99" s="1">
        <v>24976</v>
      </c>
      <c r="AV99" s="1">
        <v>19782</v>
      </c>
      <c r="AW99" s="1">
        <v>24748</v>
      </c>
      <c r="AX99" s="1">
        <v>23607</v>
      </c>
      <c r="AY99" s="1">
        <v>28280</v>
      </c>
      <c r="AZ99" s="1"/>
    </row>
    <row r="100" spans="1:52" x14ac:dyDescent="0.3">
      <c r="A100" t="s">
        <v>99</v>
      </c>
      <c r="B100" s="1">
        <v>138</v>
      </c>
      <c r="C100" s="1">
        <v>136</v>
      </c>
      <c r="D100" s="1">
        <v>178</v>
      </c>
      <c r="E100" s="1">
        <v>245</v>
      </c>
      <c r="F100" s="1">
        <v>267</v>
      </c>
      <c r="G100" s="1">
        <v>428</v>
      </c>
      <c r="H100" s="1">
        <v>435</v>
      </c>
      <c r="I100" s="1">
        <v>362</v>
      </c>
      <c r="J100" s="1">
        <v>401</v>
      </c>
      <c r="K100" s="1">
        <v>360</v>
      </c>
      <c r="L100" s="1">
        <v>288</v>
      </c>
      <c r="M100" s="1">
        <v>331</v>
      </c>
      <c r="N100" s="1">
        <v>434</v>
      </c>
      <c r="O100" s="1">
        <v>496</v>
      </c>
      <c r="P100" s="1">
        <v>519</v>
      </c>
      <c r="Q100" s="1">
        <v>635</v>
      </c>
      <c r="R100" s="1">
        <v>743</v>
      </c>
      <c r="S100" s="1">
        <v>863</v>
      </c>
      <c r="T100" s="1">
        <v>865</v>
      </c>
      <c r="U100" s="1">
        <v>915</v>
      </c>
      <c r="V100" s="1">
        <v>1032</v>
      </c>
      <c r="W100" s="1">
        <v>977</v>
      </c>
      <c r="X100" s="1">
        <v>1027</v>
      </c>
      <c r="Y100" s="1">
        <v>949</v>
      </c>
      <c r="Z100" s="1">
        <v>937</v>
      </c>
      <c r="AA100" s="1">
        <v>922</v>
      </c>
      <c r="AB100" s="1">
        <v>774</v>
      </c>
      <c r="AC100" s="1">
        <v>856</v>
      </c>
      <c r="AD100" s="1">
        <v>1256</v>
      </c>
      <c r="AE100" s="1">
        <v>1598</v>
      </c>
      <c r="AF100" s="1">
        <v>1730</v>
      </c>
      <c r="AG100" s="1">
        <v>1720</v>
      </c>
      <c r="AH100" s="1">
        <v>1759</v>
      </c>
      <c r="AI100" s="1">
        <v>1652</v>
      </c>
      <c r="AJ100" s="1">
        <v>1937</v>
      </c>
      <c r="AK100" s="1">
        <v>2356</v>
      </c>
      <c r="AL100" s="1">
        <v>2571</v>
      </c>
      <c r="AM100" s="1">
        <v>2465</v>
      </c>
      <c r="AN100" s="1">
        <v>2345</v>
      </c>
      <c r="AO100" s="1">
        <v>2477</v>
      </c>
      <c r="AP100" s="1">
        <v>2202</v>
      </c>
      <c r="AQ100" s="1">
        <v>2206</v>
      </c>
      <c r="AR100" s="1">
        <v>2424</v>
      </c>
      <c r="AS100" s="1">
        <v>2472</v>
      </c>
      <c r="AT100" s="1">
        <v>2323</v>
      </c>
      <c r="AU100" s="1">
        <v>2092</v>
      </c>
      <c r="AV100" s="1">
        <v>2445</v>
      </c>
      <c r="AW100" s="1">
        <v>2275</v>
      </c>
      <c r="AX100" s="1">
        <v>2213</v>
      </c>
      <c r="AY100" s="1">
        <v>2309</v>
      </c>
      <c r="AZ100" s="1">
        <v>2404</v>
      </c>
    </row>
    <row r="101" spans="1:52" x14ac:dyDescent="0.3">
      <c r="A101" t="s">
        <v>100</v>
      </c>
      <c r="B101" s="1">
        <v>509</v>
      </c>
      <c r="C101" s="1">
        <v>527</v>
      </c>
      <c r="D101" s="1">
        <v>590</v>
      </c>
      <c r="E101" s="1">
        <v>646</v>
      </c>
      <c r="F101" s="1">
        <v>744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>
        <v>863</v>
      </c>
      <c r="AB101" s="1">
        <v>904</v>
      </c>
      <c r="AC101" s="1">
        <v>943</v>
      </c>
      <c r="AD101" s="1">
        <v>714</v>
      </c>
      <c r="AE101" s="1">
        <v>897</v>
      </c>
      <c r="AF101" s="1">
        <v>944</v>
      </c>
      <c r="AG101" s="1">
        <v>1109</v>
      </c>
      <c r="AH101" s="1">
        <v>1344</v>
      </c>
      <c r="AI101" s="1">
        <v>1676</v>
      </c>
      <c r="AJ101" s="1">
        <v>1765</v>
      </c>
      <c r="AK101" s="1">
        <v>1966</v>
      </c>
      <c r="AL101" s="1">
        <v>2340</v>
      </c>
      <c r="AM101" s="1">
        <v>2675</v>
      </c>
      <c r="AN101" s="1">
        <v>3044</v>
      </c>
      <c r="AO101" s="1">
        <v>3090</v>
      </c>
      <c r="AP101" s="1">
        <v>3092</v>
      </c>
      <c r="AQ101" s="1">
        <v>3256</v>
      </c>
      <c r="AR101" s="1">
        <v>3321</v>
      </c>
      <c r="AS101" s="1">
        <v>3264</v>
      </c>
      <c r="AT101" s="1">
        <v>3080</v>
      </c>
      <c r="AU101" s="1">
        <v>3037</v>
      </c>
      <c r="AV101" s="1">
        <v>3509</v>
      </c>
      <c r="AW101" s="1">
        <v>3974</v>
      </c>
      <c r="AX101" s="1">
        <v>4390</v>
      </c>
      <c r="AY101" s="1">
        <v>4818</v>
      </c>
      <c r="AZ101" s="1">
        <v>5166</v>
      </c>
    </row>
    <row r="102" spans="1:52" x14ac:dyDescent="0.3">
      <c r="A102" t="s">
        <v>101</v>
      </c>
      <c r="B102" s="1">
        <v>13649</v>
      </c>
      <c r="C102" s="1">
        <v>17719</v>
      </c>
      <c r="D102" s="1">
        <v>20809</v>
      </c>
      <c r="E102" s="1">
        <v>20537</v>
      </c>
      <c r="F102" s="1">
        <v>28332</v>
      </c>
      <c r="G102" s="1">
        <v>40190</v>
      </c>
      <c r="H102" s="1">
        <v>34720</v>
      </c>
      <c r="I102" s="1">
        <v>34616</v>
      </c>
      <c r="J102" s="1">
        <v>32988</v>
      </c>
      <c r="K102" s="1">
        <v>30890</v>
      </c>
      <c r="L102" s="1">
        <v>30384</v>
      </c>
      <c r="M102" s="1">
        <v>24756</v>
      </c>
      <c r="N102" s="1">
        <v>23009</v>
      </c>
      <c r="O102" s="1">
        <v>25870</v>
      </c>
      <c r="P102" s="1">
        <v>27446</v>
      </c>
      <c r="Q102" s="1">
        <v>31627</v>
      </c>
      <c r="R102" s="1">
        <v>34995</v>
      </c>
      <c r="S102" s="1">
        <v>35459</v>
      </c>
      <c r="T102" s="1">
        <v>31912</v>
      </c>
      <c r="U102" s="1">
        <v>29719</v>
      </c>
      <c r="V102" s="1">
        <v>33739</v>
      </c>
      <c r="W102" s="1">
        <v>36827</v>
      </c>
      <c r="X102" s="1">
        <v>37702</v>
      </c>
      <c r="Y102" s="1">
        <v>30921</v>
      </c>
      <c r="Z102" s="1">
        <v>37129</v>
      </c>
      <c r="AA102" s="1">
        <v>39498</v>
      </c>
      <c r="AB102" s="1">
        <v>35206</v>
      </c>
      <c r="AC102" s="1">
        <v>21128</v>
      </c>
      <c r="AD102" s="1">
        <v>27026</v>
      </c>
      <c r="AE102" s="1">
        <v>34054</v>
      </c>
      <c r="AF102" s="1">
        <v>48852</v>
      </c>
      <c r="AG102" s="1">
        <v>60094</v>
      </c>
      <c r="AH102" s="1">
        <v>68211</v>
      </c>
      <c r="AI102" s="1">
        <v>86804</v>
      </c>
      <c r="AJ102" s="1">
        <v>60767</v>
      </c>
      <c r="AK102" s="1">
        <v>75381</v>
      </c>
      <c r="AL102" s="1">
        <v>48170</v>
      </c>
      <c r="AM102" s="1">
        <v>92542</v>
      </c>
      <c r="AN102" s="1">
        <v>75355</v>
      </c>
      <c r="AO102" s="1">
        <v>57384</v>
      </c>
      <c r="AP102" s="1">
        <v>48718</v>
      </c>
      <c r="AQ102" s="1">
        <v>49913</v>
      </c>
      <c r="AR102" s="1">
        <v>67153</v>
      </c>
      <c r="AS102" s="1">
        <v>76682</v>
      </c>
      <c r="AT102" s="1">
        <v>69237</v>
      </c>
      <c r="AU102" s="1">
        <v>46893</v>
      </c>
      <c r="AV102" s="1">
        <v>35216</v>
      </c>
      <c r="AW102" s="1">
        <v>43281</v>
      </c>
      <c r="AX102" s="1">
        <v>43958</v>
      </c>
      <c r="AY102" s="1">
        <v>42159</v>
      </c>
      <c r="AZ102" s="1">
        <v>47484</v>
      </c>
    </row>
    <row r="103" spans="1:52" x14ac:dyDescent="0.3">
      <c r="A103" t="s">
        <v>102</v>
      </c>
      <c r="B103" s="1">
        <v>246</v>
      </c>
      <c r="C103" s="1">
        <v>272</v>
      </c>
      <c r="D103" s="1">
        <v>303</v>
      </c>
      <c r="E103" s="1">
        <v>437</v>
      </c>
      <c r="F103" s="1">
        <v>503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3">
      <c r="A104" t="s">
        <v>103</v>
      </c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>
        <v>6742</v>
      </c>
      <c r="W104" s="1">
        <v>8440</v>
      </c>
      <c r="X104" s="1">
        <v>10159</v>
      </c>
      <c r="Y104" s="1">
        <v>11284</v>
      </c>
      <c r="Z104" s="1">
        <v>11017</v>
      </c>
      <c r="AA104" s="1">
        <v>11541</v>
      </c>
      <c r="AB104" s="1">
        <v>12260</v>
      </c>
      <c r="AC104" s="1">
        <v>14283</v>
      </c>
      <c r="AD104" s="1">
        <v>18801</v>
      </c>
      <c r="AE104" s="1">
        <v>22710</v>
      </c>
      <c r="AF104" s="1">
        <v>26118</v>
      </c>
      <c r="AG104" s="1">
        <v>30138</v>
      </c>
      <c r="AH104" s="1">
        <v>39765</v>
      </c>
      <c r="AI104" s="1">
        <v>48004</v>
      </c>
      <c r="AJ104" s="1">
        <v>37591</v>
      </c>
      <c r="AK104" s="1">
        <v>36693</v>
      </c>
      <c r="AL104" s="1">
        <v>43201</v>
      </c>
      <c r="AM104" s="1">
        <v>42736</v>
      </c>
      <c r="AN104" s="1">
        <v>46321</v>
      </c>
      <c r="AO104" s="1">
        <v>48388</v>
      </c>
      <c r="AP104" s="1">
        <v>41548</v>
      </c>
      <c r="AQ104" s="1">
        <v>42952</v>
      </c>
      <c r="AR104" s="1">
        <v>47745</v>
      </c>
      <c r="AS104" s="1">
        <v>54294</v>
      </c>
      <c r="AT104" s="1">
        <v>55132</v>
      </c>
      <c r="AU104" s="1">
        <v>57352</v>
      </c>
      <c r="AV104" s="1">
        <v>67068</v>
      </c>
      <c r="AW104" s="1">
        <v>71082</v>
      </c>
      <c r="AX104" s="1">
        <v>79824</v>
      </c>
      <c r="AY104" s="1">
        <v>84847</v>
      </c>
      <c r="AZ104" s="1">
        <v>89192</v>
      </c>
    </row>
    <row r="105" spans="1:52" x14ac:dyDescent="0.3">
      <c r="A105" t="s">
        <v>104</v>
      </c>
      <c r="B105" s="1">
        <v>3097</v>
      </c>
      <c r="C105" s="1">
        <v>3395</v>
      </c>
      <c r="D105" s="1">
        <v>3757</v>
      </c>
      <c r="E105" s="1">
        <v>4679</v>
      </c>
      <c r="F105" s="1">
        <v>5470</v>
      </c>
      <c r="G105" s="1">
        <v>6434</v>
      </c>
      <c r="H105" s="1">
        <v>5549</v>
      </c>
      <c r="I105" s="1">
        <v>4557</v>
      </c>
      <c r="J105" s="1">
        <v>4473</v>
      </c>
      <c r="K105" s="1">
        <v>4385</v>
      </c>
      <c r="L105" s="1">
        <v>4544</v>
      </c>
      <c r="M105" s="1">
        <v>6611</v>
      </c>
      <c r="N105" s="1">
        <v>8211</v>
      </c>
      <c r="O105" s="1">
        <v>9301</v>
      </c>
      <c r="P105" s="1">
        <v>9903</v>
      </c>
      <c r="Q105" s="1">
        <v>12628</v>
      </c>
      <c r="R105" s="1">
        <v>13683</v>
      </c>
      <c r="S105" s="1">
        <v>15328</v>
      </c>
      <c r="T105" s="1">
        <v>15714</v>
      </c>
      <c r="U105" s="1">
        <v>17487</v>
      </c>
      <c r="V105" s="1">
        <v>20571</v>
      </c>
      <c r="W105" s="1">
        <v>20464</v>
      </c>
      <c r="X105" s="1">
        <v>18428</v>
      </c>
      <c r="Y105" s="1">
        <v>19263</v>
      </c>
      <c r="Z105" s="1">
        <v>21088</v>
      </c>
      <c r="AA105" s="1">
        <v>21240</v>
      </c>
      <c r="AB105" s="1">
        <v>21388</v>
      </c>
      <c r="AC105" s="1">
        <v>23633</v>
      </c>
      <c r="AD105" s="1">
        <v>29660</v>
      </c>
      <c r="AE105" s="1">
        <v>35049</v>
      </c>
      <c r="AF105" s="1">
        <v>37693</v>
      </c>
      <c r="AG105" s="1">
        <v>42912</v>
      </c>
      <c r="AH105" s="1">
        <v>51594</v>
      </c>
      <c r="AI105" s="1">
        <v>58838</v>
      </c>
      <c r="AJ105" s="1">
        <v>54408</v>
      </c>
      <c r="AK105" s="1">
        <v>56260</v>
      </c>
      <c r="AL105" s="1">
        <v>61685</v>
      </c>
      <c r="AM105" s="1">
        <v>59814</v>
      </c>
      <c r="AN105" s="1">
        <v>65204</v>
      </c>
      <c r="AO105" s="1">
        <v>68823</v>
      </c>
      <c r="AP105" s="1">
        <v>60078</v>
      </c>
      <c r="AQ105" s="1">
        <v>62200</v>
      </c>
      <c r="AR105" s="1">
        <v>65689</v>
      </c>
      <c r="AS105" s="1">
        <v>71118</v>
      </c>
      <c r="AT105" s="1">
        <v>69880</v>
      </c>
      <c r="AU105" s="1">
        <v>73612</v>
      </c>
      <c r="AV105" s="1">
        <v>86444</v>
      </c>
      <c r="AW105" s="1">
        <v>80865</v>
      </c>
      <c r="AX105" s="1">
        <v>87599</v>
      </c>
      <c r="AY105" s="1">
        <v>93169</v>
      </c>
      <c r="AZ105" s="1">
        <v>96613</v>
      </c>
    </row>
    <row r="106" spans="1:52" x14ac:dyDescent="0.3">
      <c r="A106" t="s">
        <v>105</v>
      </c>
      <c r="B106" s="1">
        <v>436</v>
      </c>
      <c r="C106" s="1">
        <v>433</v>
      </c>
      <c r="D106" s="1">
        <v>554</v>
      </c>
      <c r="E106" s="1">
        <v>723</v>
      </c>
      <c r="F106" s="1">
        <v>822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>
        <v>6860</v>
      </c>
      <c r="AC106" s="1">
        <v>7372</v>
      </c>
      <c r="AD106" s="1">
        <v>8247</v>
      </c>
      <c r="AE106" s="1">
        <v>10643</v>
      </c>
      <c r="AF106" s="1">
        <v>12160</v>
      </c>
      <c r="AG106" s="1">
        <v>14874</v>
      </c>
      <c r="AH106" s="1">
        <v>18440</v>
      </c>
      <c r="AI106" s="1">
        <v>21027</v>
      </c>
      <c r="AJ106" s="1">
        <v>21588</v>
      </c>
      <c r="AK106" s="1">
        <v>28242</v>
      </c>
      <c r="AL106" s="1">
        <v>36844</v>
      </c>
      <c r="AM106" s="1">
        <v>43190</v>
      </c>
      <c r="AN106" s="1">
        <v>51536</v>
      </c>
      <c r="AO106" s="1">
        <v>54903</v>
      </c>
      <c r="AP106" s="1">
        <v>45048</v>
      </c>
      <c r="AQ106" s="1">
        <v>45071</v>
      </c>
      <c r="AR106" s="1">
        <v>50384</v>
      </c>
      <c r="AS106" s="1">
        <v>55191</v>
      </c>
      <c r="AT106" s="1">
        <v>55082</v>
      </c>
      <c r="AU106" s="1">
        <v>25344</v>
      </c>
      <c r="AV106" s="1">
        <v>30969</v>
      </c>
      <c r="AW106" s="1">
        <v>24998</v>
      </c>
      <c r="AX106" s="1">
        <v>45802</v>
      </c>
      <c r="AY106" s="1">
        <v>50182</v>
      </c>
      <c r="AZ106" s="1">
        <v>53354</v>
      </c>
    </row>
    <row r="107" spans="1:52" x14ac:dyDescent="0.3">
      <c r="A107" t="s">
        <v>106</v>
      </c>
      <c r="B107" s="1">
        <v>1844</v>
      </c>
      <c r="C107" s="1">
        <v>1762</v>
      </c>
      <c r="D107" s="1">
        <v>1905</v>
      </c>
      <c r="E107" s="1">
        <v>2156</v>
      </c>
      <c r="F107" s="1">
        <v>2798</v>
      </c>
      <c r="G107" s="1">
        <v>5202</v>
      </c>
      <c r="H107" s="1">
        <v>4759</v>
      </c>
      <c r="I107" s="1">
        <v>4785</v>
      </c>
      <c r="J107" s="1">
        <v>4686</v>
      </c>
      <c r="K107" s="1">
        <v>3906</v>
      </c>
      <c r="L107" s="1">
        <v>3803</v>
      </c>
      <c r="M107" s="1">
        <v>4348</v>
      </c>
      <c r="N107" s="1">
        <v>3213</v>
      </c>
      <c r="O107" s="1">
        <v>3189</v>
      </c>
      <c r="P107" s="1">
        <v>3176</v>
      </c>
      <c r="Q107" s="1">
        <v>3931</v>
      </c>
      <c r="R107" s="1">
        <v>3255</v>
      </c>
      <c r="S107" s="1">
        <v>3715</v>
      </c>
      <c r="T107" s="1">
        <v>4063</v>
      </c>
      <c r="U107" s="1">
        <v>3522</v>
      </c>
      <c r="V107" s="1">
        <v>3838</v>
      </c>
      <c r="W107" s="1">
        <v>4932</v>
      </c>
      <c r="X107" s="1">
        <v>4263</v>
      </c>
      <c r="Y107" s="1">
        <v>4402</v>
      </c>
      <c r="Z107" s="1">
        <v>4278</v>
      </c>
      <c r="AA107" s="1">
        <v>4629</v>
      </c>
      <c r="AB107" s="1">
        <v>5438</v>
      </c>
      <c r="AC107" s="1">
        <v>5352</v>
      </c>
      <c r="AD107" s="1">
        <v>6372</v>
      </c>
      <c r="AE107" s="1">
        <v>5065</v>
      </c>
      <c r="AF107" s="1">
        <v>5859</v>
      </c>
      <c r="AG107" s="1">
        <v>6396</v>
      </c>
      <c r="AH107" s="1">
        <v>8525</v>
      </c>
      <c r="AI107" s="1">
        <v>10725</v>
      </c>
      <c r="AJ107" s="1">
        <v>9617</v>
      </c>
      <c r="AK107" s="1">
        <v>9983</v>
      </c>
      <c r="AL107" s="1">
        <v>11552</v>
      </c>
      <c r="AM107" s="1">
        <v>11579</v>
      </c>
      <c r="AN107" s="1">
        <v>12424</v>
      </c>
      <c r="AO107" s="1">
        <v>12523</v>
      </c>
      <c r="AP107" s="1">
        <v>11323</v>
      </c>
      <c r="AQ107" s="1">
        <v>11849</v>
      </c>
      <c r="AR107" s="1">
        <v>13176</v>
      </c>
      <c r="AS107" s="1">
        <v>13760</v>
      </c>
      <c r="AT107" s="1">
        <v>14105</v>
      </c>
      <c r="AU107" s="1">
        <v>13051</v>
      </c>
      <c r="AV107" s="1">
        <v>14355</v>
      </c>
      <c r="AW107" s="1">
        <v>15326</v>
      </c>
      <c r="AX107" s="1">
        <v>15870</v>
      </c>
      <c r="AY107" s="1">
        <v>17420</v>
      </c>
      <c r="AZ107" s="1">
        <v>18708</v>
      </c>
    </row>
    <row r="108" spans="1:52" x14ac:dyDescent="0.3">
      <c r="A108" t="s">
        <v>107</v>
      </c>
      <c r="B108" s="1">
        <v>845</v>
      </c>
      <c r="C108" s="1">
        <v>923</v>
      </c>
      <c r="D108" s="1">
        <v>1111</v>
      </c>
      <c r="E108" s="1">
        <v>1307</v>
      </c>
      <c r="F108" s="1">
        <v>1403</v>
      </c>
      <c r="G108" s="1">
        <v>3022</v>
      </c>
      <c r="H108" s="1">
        <v>3022</v>
      </c>
      <c r="I108" s="1">
        <v>2881</v>
      </c>
      <c r="J108" s="1">
        <v>2986</v>
      </c>
      <c r="K108" s="1">
        <v>2949</v>
      </c>
      <c r="L108" s="1">
        <v>2762</v>
      </c>
      <c r="M108" s="1">
        <v>2883</v>
      </c>
      <c r="N108" s="1">
        <v>2834</v>
      </c>
      <c r="O108" s="1">
        <v>3258</v>
      </c>
      <c r="P108" s="1">
        <v>3715</v>
      </c>
      <c r="Q108" s="1">
        <v>4222</v>
      </c>
      <c r="R108" s="1">
        <v>5380</v>
      </c>
      <c r="S108" s="1">
        <v>4394</v>
      </c>
      <c r="T108" s="1">
        <v>5056</v>
      </c>
      <c r="U108" s="1">
        <v>2930</v>
      </c>
      <c r="V108" s="1">
        <v>3412</v>
      </c>
      <c r="W108" s="1">
        <v>5569</v>
      </c>
      <c r="X108" s="1">
        <v>6504</v>
      </c>
      <c r="Y108" s="1">
        <v>4275</v>
      </c>
      <c r="Z108" s="1">
        <v>4336</v>
      </c>
      <c r="AA108" s="1">
        <v>4257</v>
      </c>
      <c r="AB108" s="1">
        <v>4178</v>
      </c>
      <c r="AC108" s="1">
        <v>4922</v>
      </c>
      <c r="AD108" s="1">
        <v>4521</v>
      </c>
      <c r="AE108" s="1">
        <v>4895</v>
      </c>
      <c r="AF108" s="1">
        <v>5148</v>
      </c>
      <c r="AG108" s="1">
        <v>5630</v>
      </c>
      <c r="AH108" s="1">
        <v>6240</v>
      </c>
      <c r="AI108" s="1">
        <v>7492</v>
      </c>
      <c r="AJ108" s="1">
        <v>8723</v>
      </c>
      <c r="AK108" s="1">
        <v>9796</v>
      </c>
      <c r="AL108" s="1">
        <v>11241</v>
      </c>
      <c r="AM108" s="1">
        <v>8421</v>
      </c>
      <c r="AN108" s="1">
        <v>7648</v>
      </c>
      <c r="AO108" s="1">
        <v>8526</v>
      </c>
      <c r="AP108" s="1">
        <v>9014</v>
      </c>
      <c r="AQ108" s="1">
        <v>7733</v>
      </c>
      <c r="AR108" s="1">
        <v>8943</v>
      </c>
      <c r="AS108" s="1">
        <v>9882</v>
      </c>
      <c r="AT108" s="1">
        <v>11031</v>
      </c>
      <c r="AU108" s="1">
        <v>11847</v>
      </c>
      <c r="AV108" s="1">
        <v>12475</v>
      </c>
      <c r="AW108" s="1">
        <v>12531</v>
      </c>
      <c r="AX108" s="1">
        <v>13439</v>
      </c>
      <c r="AY108" s="1">
        <v>11797</v>
      </c>
      <c r="AZ108" s="1">
        <v>13959</v>
      </c>
    </row>
    <row r="109" spans="1:52" x14ac:dyDescent="0.3">
      <c r="A109" t="s">
        <v>108</v>
      </c>
      <c r="B109" s="1">
        <v>10079</v>
      </c>
      <c r="C109" s="1">
        <v>11939</v>
      </c>
      <c r="D109" s="1">
        <v>14196</v>
      </c>
      <c r="E109" s="1">
        <v>17674</v>
      </c>
      <c r="F109" s="1">
        <v>22919</v>
      </c>
      <c r="G109" s="1">
        <v>26757</v>
      </c>
      <c r="H109" s="1">
        <v>27321</v>
      </c>
      <c r="I109" s="1">
        <v>29278</v>
      </c>
      <c r="J109" s="1">
        <v>32745</v>
      </c>
      <c r="K109" s="1">
        <v>37087</v>
      </c>
      <c r="L109" s="1">
        <v>34090</v>
      </c>
      <c r="M109" s="1">
        <v>30303</v>
      </c>
      <c r="N109" s="1">
        <v>34529</v>
      </c>
      <c r="O109" s="1">
        <v>37845</v>
      </c>
      <c r="P109" s="1">
        <v>41678</v>
      </c>
      <c r="Q109" s="1">
        <v>47245</v>
      </c>
      <c r="R109" s="1">
        <v>53519</v>
      </c>
      <c r="S109" s="1">
        <v>64427</v>
      </c>
      <c r="T109" s="1">
        <v>72857</v>
      </c>
      <c r="U109" s="1">
        <v>81156</v>
      </c>
      <c r="V109" s="1">
        <v>96606</v>
      </c>
      <c r="W109" s="1">
        <v>109846</v>
      </c>
      <c r="X109" s="1">
        <v>109116</v>
      </c>
      <c r="Y109" s="1">
        <v>78639</v>
      </c>
      <c r="Z109" s="1">
        <v>86203</v>
      </c>
      <c r="AA109" s="1">
        <v>102149</v>
      </c>
      <c r="AB109" s="1">
        <v>101054</v>
      </c>
      <c r="AC109" s="1">
        <v>109833</v>
      </c>
      <c r="AD109" s="1">
        <v>120025</v>
      </c>
      <c r="AE109" s="1">
        <v>135869</v>
      </c>
      <c r="AF109" s="1">
        <v>150345</v>
      </c>
      <c r="AG109" s="1">
        <v>170410</v>
      </c>
      <c r="AH109" s="1">
        <v>202732</v>
      </c>
      <c r="AI109" s="1">
        <v>241946</v>
      </c>
      <c r="AJ109" s="1">
        <v>211847</v>
      </c>
      <c r="AK109" s="1">
        <v>258640</v>
      </c>
      <c r="AL109" s="1">
        <v>302184</v>
      </c>
      <c r="AM109" s="1">
        <v>318909</v>
      </c>
      <c r="AN109" s="1">
        <v>327869</v>
      </c>
      <c r="AO109" s="1">
        <v>342868</v>
      </c>
      <c r="AP109" s="1">
        <v>301355</v>
      </c>
      <c r="AQ109" s="1">
        <v>301256</v>
      </c>
      <c r="AR109" s="1">
        <v>319109</v>
      </c>
      <c r="AS109" s="1">
        <v>358783</v>
      </c>
      <c r="AT109" s="1">
        <v>365178</v>
      </c>
      <c r="AU109" s="1">
        <v>337456</v>
      </c>
      <c r="AV109" s="1">
        <v>373785</v>
      </c>
      <c r="AW109" s="1">
        <v>407605</v>
      </c>
      <c r="AX109" s="1">
        <v>399705</v>
      </c>
      <c r="AY109" s="1">
        <v>419617</v>
      </c>
      <c r="AZ109" s="1">
        <v>444984</v>
      </c>
    </row>
    <row r="110" spans="1:52" x14ac:dyDescent="0.3">
      <c r="A110" t="s">
        <v>109</v>
      </c>
      <c r="B110" s="1">
        <v>48</v>
      </c>
      <c r="C110" s="1">
        <v>44</v>
      </c>
      <c r="D110" s="1">
        <v>41</v>
      </c>
      <c r="E110" s="1">
        <v>47</v>
      </c>
      <c r="F110" s="1">
        <v>75</v>
      </c>
      <c r="G110" s="1">
        <v>63</v>
      </c>
      <c r="H110" s="1">
        <v>73</v>
      </c>
      <c r="I110" s="1">
        <v>87</v>
      </c>
      <c r="J110" s="1">
        <v>94</v>
      </c>
      <c r="K110" s="1">
        <v>113</v>
      </c>
      <c r="L110" s="1">
        <v>134</v>
      </c>
      <c r="M110" s="1">
        <v>158</v>
      </c>
      <c r="N110" s="1">
        <v>149</v>
      </c>
      <c r="O110" s="1">
        <v>178</v>
      </c>
      <c r="P110" s="1">
        <v>201</v>
      </c>
      <c r="Q110" s="1">
        <v>231</v>
      </c>
      <c r="R110" s="1">
        <v>262</v>
      </c>
      <c r="S110" s="1">
        <v>306</v>
      </c>
      <c r="T110" s="1">
        <v>346</v>
      </c>
      <c r="U110" s="1">
        <v>382</v>
      </c>
      <c r="V110" s="1">
        <v>466</v>
      </c>
      <c r="W110" s="1">
        <v>527</v>
      </c>
      <c r="X110" s="1">
        <v>652</v>
      </c>
      <c r="Y110" s="1">
        <v>693</v>
      </c>
      <c r="Z110" s="1">
        <v>756</v>
      </c>
      <c r="AA110" s="1">
        <v>801</v>
      </c>
      <c r="AB110" s="1">
        <v>767</v>
      </c>
      <c r="AC110" s="1">
        <v>828</v>
      </c>
      <c r="AD110" s="1">
        <v>1052</v>
      </c>
      <c r="AE110" s="1">
        <v>1227</v>
      </c>
      <c r="AF110" s="1">
        <v>1163</v>
      </c>
      <c r="AG110" s="1">
        <v>1575</v>
      </c>
      <c r="AH110" s="1">
        <v>1868</v>
      </c>
      <c r="AI110" s="1">
        <v>2272</v>
      </c>
      <c r="AJ110" s="1">
        <v>2345</v>
      </c>
      <c r="AK110" s="1">
        <v>2588</v>
      </c>
      <c r="AL110" s="1">
        <v>2629</v>
      </c>
      <c r="AM110" s="1">
        <v>2885</v>
      </c>
      <c r="AN110" s="1">
        <v>3286</v>
      </c>
      <c r="AO110" s="1">
        <v>3690</v>
      </c>
      <c r="AP110" s="1">
        <v>4118</v>
      </c>
      <c r="AQ110" s="1">
        <v>4398</v>
      </c>
      <c r="AR110" s="1">
        <v>4809</v>
      </c>
      <c r="AS110" s="1">
        <v>5398</v>
      </c>
      <c r="AT110" s="1">
        <v>5716</v>
      </c>
      <c r="AU110" s="1">
        <v>3706</v>
      </c>
      <c r="AV110" s="1">
        <v>5242</v>
      </c>
      <c r="AW110" s="1">
        <v>6168</v>
      </c>
      <c r="AX110" s="1">
        <v>6581</v>
      </c>
      <c r="AY110" s="1">
        <v>7019</v>
      </c>
      <c r="AZ110" s="1">
        <v>7480</v>
      </c>
    </row>
    <row r="111" spans="1:52" x14ac:dyDescent="0.3">
      <c r="A111" t="s">
        <v>110</v>
      </c>
      <c r="B111" s="1">
        <v>604</v>
      </c>
      <c r="C111" s="1">
        <v>716</v>
      </c>
      <c r="D111" s="1">
        <v>833</v>
      </c>
      <c r="E111" s="1">
        <v>965</v>
      </c>
      <c r="F111" s="1">
        <v>1220</v>
      </c>
      <c r="G111" s="1">
        <v>2031</v>
      </c>
      <c r="H111" s="1">
        <v>1660</v>
      </c>
      <c r="I111" s="1">
        <v>1468</v>
      </c>
      <c r="J111" s="1">
        <v>1418</v>
      </c>
      <c r="K111" s="1">
        <v>1416</v>
      </c>
      <c r="L111" s="1">
        <v>1426</v>
      </c>
      <c r="M111" s="1">
        <v>1981</v>
      </c>
      <c r="N111" s="1">
        <v>2308</v>
      </c>
      <c r="O111" s="1">
        <v>2316</v>
      </c>
      <c r="P111" s="1">
        <v>2827</v>
      </c>
      <c r="Q111" s="1">
        <v>3223</v>
      </c>
      <c r="R111" s="1">
        <v>3284</v>
      </c>
      <c r="S111" s="1">
        <v>3372</v>
      </c>
      <c r="T111" s="1">
        <v>3362</v>
      </c>
      <c r="U111" s="1">
        <v>2575</v>
      </c>
      <c r="V111" s="1">
        <v>3337</v>
      </c>
      <c r="W111" s="1">
        <v>3416</v>
      </c>
      <c r="X111" s="1">
        <v>3208</v>
      </c>
      <c r="Y111" s="1">
        <v>3328</v>
      </c>
      <c r="Z111" s="1">
        <v>3444</v>
      </c>
      <c r="AA111" s="1">
        <v>2963</v>
      </c>
      <c r="AB111" s="1">
        <v>3468</v>
      </c>
      <c r="AC111" s="1">
        <v>3905</v>
      </c>
      <c r="AD111" s="1">
        <v>4713</v>
      </c>
      <c r="AE111" s="1">
        <v>5452</v>
      </c>
      <c r="AF111" s="1">
        <v>6251</v>
      </c>
      <c r="AG111" s="1">
        <v>6906</v>
      </c>
      <c r="AH111" s="1">
        <v>8157</v>
      </c>
      <c r="AI111" s="1">
        <v>9871</v>
      </c>
      <c r="AJ111" s="1">
        <v>10249</v>
      </c>
      <c r="AK111" s="1">
        <v>10698</v>
      </c>
      <c r="AL111" s="1">
        <v>12993</v>
      </c>
      <c r="AM111" s="1">
        <v>12450</v>
      </c>
      <c r="AN111" s="1">
        <v>13243</v>
      </c>
      <c r="AO111" s="1">
        <v>14369</v>
      </c>
      <c r="AP111" s="1">
        <v>13106</v>
      </c>
      <c r="AQ111" s="1">
        <v>14022</v>
      </c>
      <c r="AR111" s="1">
        <v>15360</v>
      </c>
      <c r="AS111" s="1">
        <v>17079</v>
      </c>
      <c r="AT111" s="1">
        <v>17281</v>
      </c>
      <c r="AU111" s="1">
        <v>17491</v>
      </c>
      <c r="AV111" s="1">
        <v>19320</v>
      </c>
      <c r="AW111" s="1">
        <v>19319</v>
      </c>
      <c r="AX111" s="1">
        <v>21184</v>
      </c>
      <c r="AY111" s="1">
        <v>22724</v>
      </c>
      <c r="AZ111" s="1">
        <v>23208</v>
      </c>
    </row>
    <row r="112" spans="1:52" x14ac:dyDescent="0.3">
      <c r="A112" t="s">
        <v>111</v>
      </c>
      <c r="B112" s="1">
        <v>475</v>
      </c>
      <c r="C112" s="1">
        <v>528</v>
      </c>
      <c r="D112" s="1">
        <v>626</v>
      </c>
      <c r="E112" s="1">
        <v>794</v>
      </c>
      <c r="F112" s="1">
        <v>1001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>
        <v>3353</v>
      </c>
      <c r="W112" s="1">
        <v>3419</v>
      </c>
      <c r="X112" s="1">
        <v>3461</v>
      </c>
      <c r="Y112" s="1">
        <v>3667</v>
      </c>
      <c r="Z112" s="1">
        <v>3827</v>
      </c>
      <c r="AA112" s="1">
        <v>4042</v>
      </c>
      <c r="AB112" s="1">
        <v>4072</v>
      </c>
      <c r="AC112" s="1">
        <v>4462</v>
      </c>
      <c r="AD112" s="1">
        <v>5425</v>
      </c>
      <c r="AE112" s="1">
        <v>6109</v>
      </c>
      <c r="AF112" s="1">
        <v>6392</v>
      </c>
      <c r="AG112" s="1">
        <v>6783</v>
      </c>
      <c r="AH112" s="1">
        <v>7972</v>
      </c>
      <c r="AI112" s="1">
        <v>9171</v>
      </c>
      <c r="AJ112" s="1">
        <v>8760</v>
      </c>
      <c r="AK112" s="1">
        <v>9104</v>
      </c>
      <c r="AL112" s="1">
        <v>9788</v>
      </c>
      <c r="AM112" s="1">
        <v>9616</v>
      </c>
      <c r="AN112" s="1">
        <v>10797</v>
      </c>
      <c r="AO112" s="1">
        <v>11891</v>
      </c>
      <c r="AP112" s="1">
        <v>11342</v>
      </c>
      <c r="AQ112" s="1">
        <v>12022</v>
      </c>
      <c r="AR112" s="1">
        <v>14156</v>
      </c>
      <c r="AS112" s="1">
        <v>16161</v>
      </c>
      <c r="AT112" s="1">
        <v>16340</v>
      </c>
      <c r="AU112" s="1">
        <v>16397</v>
      </c>
      <c r="AV112" s="1">
        <v>19737</v>
      </c>
      <c r="AW112" s="1">
        <v>19254</v>
      </c>
      <c r="AX112" s="1">
        <v>22217</v>
      </c>
      <c r="AY112" s="1">
        <v>24315</v>
      </c>
      <c r="AZ112" s="1">
        <v>25750</v>
      </c>
    </row>
    <row r="113" spans="1:52" x14ac:dyDescent="0.3">
      <c r="A113" t="s">
        <v>112</v>
      </c>
      <c r="B113" s="1">
        <v>17</v>
      </c>
      <c r="C113" s="1">
        <v>18</v>
      </c>
      <c r="D113" s="1">
        <v>20</v>
      </c>
      <c r="E113" s="1">
        <v>22</v>
      </c>
      <c r="F113" s="1">
        <v>26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>
        <v>110</v>
      </c>
      <c r="Y113" s="1">
        <v>112</v>
      </c>
      <c r="Z113" s="1">
        <v>113</v>
      </c>
      <c r="AA113" s="1">
        <v>115</v>
      </c>
      <c r="AB113" s="1">
        <v>123</v>
      </c>
      <c r="AC113" s="1">
        <v>132</v>
      </c>
      <c r="AD113" s="1">
        <v>131</v>
      </c>
      <c r="AE113" s="1">
        <v>133</v>
      </c>
      <c r="AF113" s="1">
        <v>138</v>
      </c>
      <c r="AG113" s="1">
        <v>143</v>
      </c>
      <c r="AH113" s="1">
        <v>150</v>
      </c>
      <c r="AI113" s="1">
        <v>147</v>
      </c>
      <c r="AJ113" s="1">
        <v>151</v>
      </c>
      <c r="AK113" s="1">
        <v>161</v>
      </c>
      <c r="AL113" s="1">
        <v>172</v>
      </c>
      <c r="AM113" s="1">
        <v>181</v>
      </c>
      <c r="AN113" s="1">
        <v>186</v>
      </c>
      <c r="AO113" s="1">
        <v>186</v>
      </c>
      <c r="AP113" s="1">
        <v>184</v>
      </c>
      <c r="AQ113" s="1">
        <v>202</v>
      </c>
      <c r="AR113" s="1">
        <v>214</v>
      </c>
      <c r="AS113" s="1">
        <v>220</v>
      </c>
      <c r="AT113" s="1">
        <v>233</v>
      </c>
      <c r="AU113" s="1">
        <v>242</v>
      </c>
      <c r="AV113" s="1">
        <v>259</v>
      </c>
      <c r="AW113" s="1">
        <v>253</v>
      </c>
      <c r="AX113" s="1">
        <v>259</v>
      </c>
      <c r="AY113" s="1">
        <v>280</v>
      </c>
      <c r="AZ113" s="1">
        <v>297</v>
      </c>
    </row>
    <row r="114" spans="1:52" x14ac:dyDescent="0.3">
      <c r="A114" t="s">
        <v>113</v>
      </c>
      <c r="B114" s="1">
        <v>759</v>
      </c>
      <c r="C114" s="1">
        <v>847</v>
      </c>
      <c r="D114" s="1">
        <v>871</v>
      </c>
      <c r="E114" s="1">
        <v>857</v>
      </c>
      <c r="F114" s="1">
        <v>1069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>
        <v>1793</v>
      </c>
      <c r="R114" s="1">
        <v>2055</v>
      </c>
      <c r="S114" s="1">
        <v>2164</v>
      </c>
      <c r="T114" s="1">
        <v>1847</v>
      </c>
      <c r="U114" s="1">
        <v>1945</v>
      </c>
      <c r="V114" s="1">
        <v>2092</v>
      </c>
      <c r="W114" s="1">
        <v>2132</v>
      </c>
      <c r="X114" s="1">
        <v>2072</v>
      </c>
      <c r="Y114" s="1">
        <v>2027</v>
      </c>
      <c r="Z114" s="1">
        <v>1986</v>
      </c>
      <c r="AA114" s="1">
        <v>1780</v>
      </c>
      <c r="AB114" s="1">
        <v>1746</v>
      </c>
      <c r="AC114" s="1">
        <v>1777</v>
      </c>
      <c r="AD114" s="1">
        <v>2051</v>
      </c>
      <c r="AE114" s="1">
        <v>2362</v>
      </c>
      <c r="AF114" s="1">
        <v>2936</v>
      </c>
      <c r="AG114" s="1">
        <v>4009</v>
      </c>
      <c r="AH114" s="1">
        <v>4328</v>
      </c>
      <c r="AI114" s="1">
        <v>5138</v>
      </c>
      <c r="AJ114" s="1">
        <v>4725</v>
      </c>
      <c r="AK114" s="1">
        <v>5637</v>
      </c>
      <c r="AL114" s="1">
        <v>6782</v>
      </c>
      <c r="AM114" s="1">
        <v>6721</v>
      </c>
      <c r="AN114" s="1">
        <v>7331</v>
      </c>
      <c r="AO114" s="1">
        <v>6615</v>
      </c>
      <c r="AP114" s="1">
        <v>6182</v>
      </c>
      <c r="AQ114" s="1">
        <v>6414</v>
      </c>
      <c r="AR114" s="1">
        <v>6826</v>
      </c>
      <c r="AS114" s="1">
        <v>7472</v>
      </c>
      <c r="AT114" s="1">
        <v>7894</v>
      </c>
      <c r="AU114" s="1">
        <v>8464</v>
      </c>
      <c r="AV114" s="1">
        <v>9126</v>
      </c>
      <c r="AW114" s="1">
        <v>9564</v>
      </c>
      <c r="AX114" s="1">
        <v>10649</v>
      </c>
      <c r="AY114" s="1">
        <v>10697</v>
      </c>
      <c r="AZ114" s="1">
        <v>11470</v>
      </c>
    </row>
    <row r="115" spans="1:52" x14ac:dyDescent="0.3">
      <c r="A115" t="s">
        <v>114</v>
      </c>
      <c r="B115" s="1">
        <v>581</v>
      </c>
      <c r="C115" s="1">
        <v>722</v>
      </c>
      <c r="D115" s="1">
        <v>844</v>
      </c>
      <c r="E115" s="1">
        <v>1041</v>
      </c>
      <c r="F115" s="1">
        <v>1241</v>
      </c>
      <c r="G115" s="1">
        <v>1242</v>
      </c>
      <c r="H115" s="1">
        <v>1179</v>
      </c>
      <c r="I115" s="1">
        <v>1131</v>
      </c>
      <c r="J115" s="1">
        <v>1198</v>
      </c>
      <c r="K115" s="1">
        <v>1108</v>
      </c>
      <c r="L115" s="1">
        <v>1122</v>
      </c>
      <c r="M115" s="1">
        <v>1515</v>
      </c>
      <c r="N115" s="1">
        <v>1919</v>
      </c>
      <c r="O115" s="1">
        <v>2225</v>
      </c>
      <c r="P115" s="1">
        <v>2286</v>
      </c>
      <c r="Q115" s="1">
        <v>2743</v>
      </c>
      <c r="R115" s="1">
        <v>3017</v>
      </c>
      <c r="S115" s="1">
        <v>3398</v>
      </c>
      <c r="T115" s="1">
        <v>3502</v>
      </c>
      <c r="U115" s="1">
        <v>3887</v>
      </c>
      <c r="V115" s="1">
        <v>4439</v>
      </c>
      <c r="W115" s="1">
        <v>4590</v>
      </c>
      <c r="X115" s="1">
        <v>4310</v>
      </c>
      <c r="Y115" s="1">
        <v>4354</v>
      </c>
      <c r="Z115" s="1">
        <v>4597</v>
      </c>
      <c r="AA115" s="1">
        <v>4935</v>
      </c>
      <c r="AB115" s="1">
        <v>4882</v>
      </c>
      <c r="AC115" s="1">
        <v>5123</v>
      </c>
      <c r="AD115" s="1">
        <v>6155</v>
      </c>
      <c r="AE115" s="1">
        <v>6962</v>
      </c>
      <c r="AF115" s="1">
        <v>6867</v>
      </c>
      <c r="AG115" s="1">
        <v>7123</v>
      </c>
      <c r="AH115" s="1">
        <v>8260</v>
      </c>
      <c r="AI115" s="1">
        <v>10125</v>
      </c>
      <c r="AJ115" s="1">
        <v>9252</v>
      </c>
      <c r="AK115" s="1">
        <v>10138</v>
      </c>
      <c r="AL115" s="1">
        <v>11673</v>
      </c>
      <c r="AM115" s="1">
        <v>11826</v>
      </c>
      <c r="AN115" s="1">
        <v>12293</v>
      </c>
      <c r="AO115" s="1">
        <v>13074</v>
      </c>
      <c r="AP115" s="1">
        <v>12007</v>
      </c>
      <c r="AQ115" s="1">
        <v>12594</v>
      </c>
      <c r="AR115" s="1">
        <v>13714</v>
      </c>
      <c r="AS115" s="1">
        <v>14736</v>
      </c>
      <c r="AT115" s="1">
        <v>14436</v>
      </c>
      <c r="AU115" s="1">
        <v>11408</v>
      </c>
      <c r="AV115" s="1">
        <v>11484</v>
      </c>
      <c r="AW115" s="1">
        <v>12908</v>
      </c>
      <c r="AX115" s="1">
        <v>14101</v>
      </c>
      <c r="AY115" s="1">
        <v>14953</v>
      </c>
      <c r="AZ115" s="1">
        <v>15495</v>
      </c>
    </row>
    <row r="116" spans="1:52" x14ac:dyDescent="0.3">
      <c r="A116" t="s">
        <v>115</v>
      </c>
      <c r="B116" s="1">
        <v>107525</v>
      </c>
      <c r="C116" s="1">
        <v>108589</v>
      </c>
      <c r="D116" s="1">
        <v>100097</v>
      </c>
      <c r="E116" s="1">
        <v>125438</v>
      </c>
      <c r="F116" s="1">
        <v>164346</v>
      </c>
      <c r="G116" s="1">
        <v>242153</v>
      </c>
      <c r="H116" s="1">
        <v>311012</v>
      </c>
      <c r="I116" s="1">
        <v>225706</v>
      </c>
      <c r="J116" s="1">
        <v>184010</v>
      </c>
      <c r="K116" s="1">
        <v>217001</v>
      </c>
      <c r="L116" s="1">
        <v>230272</v>
      </c>
      <c r="M116" s="1">
        <v>159434</v>
      </c>
      <c r="N116" s="1">
        <v>174840</v>
      </c>
      <c r="O116" s="1">
        <v>213893</v>
      </c>
      <c r="P116" s="1">
        <v>260663</v>
      </c>
      <c r="Q116" s="1">
        <v>307613</v>
      </c>
      <c r="R116" s="1">
        <v>368772</v>
      </c>
      <c r="S116" s="1">
        <v>427661</v>
      </c>
      <c r="T116" s="1">
        <v>530226</v>
      </c>
      <c r="U116" s="1">
        <v>553618</v>
      </c>
      <c r="V116" s="1">
        <v>380182</v>
      </c>
      <c r="W116" s="1">
        <v>432158</v>
      </c>
      <c r="X116" s="1">
        <v>523450</v>
      </c>
      <c r="Y116" s="1">
        <v>557485</v>
      </c>
      <c r="Z116" s="1">
        <v>631240</v>
      </c>
      <c r="AA116" s="1">
        <v>742061</v>
      </c>
      <c r="AB116" s="1">
        <v>796055</v>
      </c>
      <c r="AC116" s="1">
        <v>810666</v>
      </c>
      <c r="AD116" s="1">
        <v>765550</v>
      </c>
      <c r="AE116" s="1">
        <v>819459</v>
      </c>
      <c r="AF116" s="1">
        <v>917572</v>
      </c>
      <c r="AG116" s="1">
        <v>1020265</v>
      </c>
      <c r="AH116" s="1">
        <v>1102356</v>
      </c>
      <c r="AI116" s="1">
        <v>1161553</v>
      </c>
      <c r="AJ116" s="1">
        <v>943437</v>
      </c>
      <c r="AK116" s="1">
        <v>1105424</v>
      </c>
      <c r="AL116" s="1">
        <v>1229014</v>
      </c>
      <c r="AM116" s="1">
        <v>1255110</v>
      </c>
      <c r="AN116" s="1">
        <v>1327436</v>
      </c>
      <c r="AO116" s="1">
        <v>1364508</v>
      </c>
      <c r="AP116" s="1">
        <v>1213294</v>
      </c>
      <c r="AQ116" s="1">
        <v>1112233</v>
      </c>
      <c r="AR116" s="1">
        <v>1190721</v>
      </c>
      <c r="AS116" s="1">
        <v>1256300</v>
      </c>
      <c r="AT116" s="1">
        <v>1304106</v>
      </c>
      <c r="AU116" s="1">
        <v>1121065</v>
      </c>
      <c r="AV116" s="1">
        <v>1316569</v>
      </c>
      <c r="AW116" s="1">
        <v>1466465</v>
      </c>
      <c r="AX116" s="1">
        <v>1793799</v>
      </c>
      <c r="AY116" s="1">
        <v>1852723</v>
      </c>
      <c r="AZ116" s="1">
        <v>1692640</v>
      </c>
    </row>
    <row r="117" spans="1:52" x14ac:dyDescent="0.3">
      <c r="A117" t="s">
        <v>116</v>
      </c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>
        <v>864</v>
      </c>
      <c r="T117" s="1">
        <v>1110</v>
      </c>
      <c r="U117" s="1">
        <v>1158</v>
      </c>
      <c r="V117" s="1">
        <v>1441</v>
      </c>
      <c r="W117" s="1">
        <v>1694</v>
      </c>
      <c r="X117" s="1">
        <v>1928</v>
      </c>
      <c r="Y117" s="1">
        <v>1697</v>
      </c>
      <c r="Z117" s="1">
        <v>1172</v>
      </c>
      <c r="AA117" s="1">
        <v>1315</v>
      </c>
      <c r="AB117" s="1">
        <v>1481</v>
      </c>
      <c r="AC117" s="1">
        <v>1662</v>
      </c>
      <c r="AD117" s="1">
        <v>1981</v>
      </c>
      <c r="AE117" s="1">
        <v>2598</v>
      </c>
      <c r="AF117" s="1">
        <v>2988</v>
      </c>
      <c r="AG117" s="1">
        <v>3408</v>
      </c>
      <c r="AH117" s="1">
        <v>4401</v>
      </c>
      <c r="AI117" s="1">
        <v>6055</v>
      </c>
      <c r="AJ117" s="1">
        <v>5438</v>
      </c>
      <c r="AK117" s="1">
        <v>6977</v>
      </c>
      <c r="AL117" s="1">
        <v>8417</v>
      </c>
      <c r="AM117" s="1">
        <v>8708</v>
      </c>
      <c r="AN117" s="1">
        <v>9496</v>
      </c>
      <c r="AO117" s="1">
        <v>9402</v>
      </c>
      <c r="AP117" s="1">
        <v>7778</v>
      </c>
      <c r="AQ117" s="1">
        <v>7981</v>
      </c>
      <c r="AR117" s="1">
        <v>9515</v>
      </c>
      <c r="AS117" s="1">
        <v>11252</v>
      </c>
      <c r="AT117" s="1">
        <v>11737</v>
      </c>
      <c r="AU117" s="1">
        <v>11530</v>
      </c>
      <c r="AV117" s="1">
        <v>13694</v>
      </c>
      <c r="AW117" s="1">
        <v>14493</v>
      </c>
      <c r="AX117" s="1">
        <v>16751</v>
      </c>
      <c r="AY117" s="1">
        <v>18126</v>
      </c>
      <c r="AZ117" s="1">
        <v>19462</v>
      </c>
    </row>
    <row r="118" spans="1:52" x14ac:dyDescent="0.3">
      <c r="A118" t="s">
        <v>117</v>
      </c>
      <c r="B118" s="1">
        <v>712</v>
      </c>
      <c r="C118" s="1">
        <v>736</v>
      </c>
      <c r="D118" s="1">
        <v>812</v>
      </c>
      <c r="E118" s="1">
        <v>1002</v>
      </c>
      <c r="F118" s="1">
        <v>1212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3">
      <c r="A119" t="s">
        <v>118</v>
      </c>
      <c r="B119" s="1">
        <v>311</v>
      </c>
      <c r="C119" s="1">
        <v>342</v>
      </c>
      <c r="D119" s="1">
        <v>392</v>
      </c>
      <c r="E119" s="1">
        <v>451</v>
      </c>
      <c r="F119" s="1">
        <v>510</v>
      </c>
      <c r="G119" s="1">
        <v>2728</v>
      </c>
      <c r="H119" s="1">
        <v>2854</v>
      </c>
      <c r="I119" s="1">
        <v>2963</v>
      </c>
      <c r="J119" s="1">
        <v>3071</v>
      </c>
      <c r="K119" s="1">
        <v>2837</v>
      </c>
      <c r="L119" s="1">
        <v>3294</v>
      </c>
      <c r="M119" s="1">
        <v>3636</v>
      </c>
      <c r="N119" s="1">
        <v>4086</v>
      </c>
      <c r="O119" s="1">
        <v>4104</v>
      </c>
      <c r="P119" s="1">
        <v>4275</v>
      </c>
      <c r="Q119" s="1">
        <v>2678</v>
      </c>
      <c r="R119" s="1">
        <v>2821</v>
      </c>
      <c r="S119" s="1">
        <v>1566</v>
      </c>
      <c r="T119" s="1">
        <v>771</v>
      </c>
      <c r="U119" s="1">
        <v>926</v>
      </c>
      <c r="V119" s="1">
        <v>1452</v>
      </c>
      <c r="W119" s="1">
        <v>1348</v>
      </c>
      <c r="X119" s="1">
        <v>1181</v>
      </c>
      <c r="Y119" s="1">
        <v>1125</v>
      </c>
      <c r="Z119" s="1">
        <v>1057</v>
      </c>
      <c r="AA119" s="1">
        <v>1137</v>
      </c>
      <c r="AB119" s="1">
        <v>1268</v>
      </c>
      <c r="AC119" s="1">
        <v>1397</v>
      </c>
      <c r="AD119" s="1">
        <v>1595</v>
      </c>
      <c r="AE119" s="1">
        <v>1992</v>
      </c>
      <c r="AF119" s="1">
        <v>2523</v>
      </c>
      <c r="AG119" s="1">
        <v>3414</v>
      </c>
      <c r="AH119" s="1">
        <v>4235</v>
      </c>
      <c r="AI119" s="1">
        <v>5623</v>
      </c>
      <c r="AJ119" s="1">
        <v>4584</v>
      </c>
      <c r="AK119" s="1">
        <v>7185</v>
      </c>
      <c r="AL119" s="1">
        <v>10410</v>
      </c>
      <c r="AM119" s="1">
        <v>12278</v>
      </c>
      <c r="AN119" s="1">
        <v>12582</v>
      </c>
      <c r="AO119" s="1">
        <v>12227</v>
      </c>
      <c r="AP119" s="1">
        <v>11620</v>
      </c>
      <c r="AQ119" s="1">
        <v>11154</v>
      </c>
      <c r="AR119" s="1">
        <v>11481</v>
      </c>
      <c r="AS119" s="1">
        <v>13207</v>
      </c>
      <c r="AT119" s="1">
        <v>14206</v>
      </c>
      <c r="AU119" s="1">
        <v>13313</v>
      </c>
      <c r="AV119" s="1">
        <v>15286</v>
      </c>
      <c r="AW119" s="1">
        <v>17146</v>
      </c>
      <c r="AX119" s="1">
        <v>20315</v>
      </c>
      <c r="AY119" s="1">
        <v>23586</v>
      </c>
      <c r="AZ119" s="1">
        <v>25804</v>
      </c>
    </row>
    <row r="120" spans="1:52" x14ac:dyDescent="0.3">
      <c r="A120" t="s">
        <v>119</v>
      </c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>
        <v>966</v>
      </c>
      <c r="AB120" s="1">
        <v>1150</v>
      </c>
      <c r="AC120" s="1">
        <v>1269</v>
      </c>
      <c r="AD120" s="1">
        <v>1681</v>
      </c>
      <c r="AE120" s="1">
        <v>2073</v>
      </c>
      <c r="AF120" s="1">
        <v>2261</v>
      </c>
      <c r="AG120" s="1">
        <v>2724</v>
      </c>
      <c r="AH120" s="1">
        <v>3686</v>
      </c>
      <c r="AI120" s="1">
        <v>4564</v>
      </c>
      <c r="AJ120" s="1">
        <v>4171</v>
      </c>
      <c r="AK120" s="1">
        <v>4146</v>
      </c>
      <c r="AL120" s="1">
        <v>4544</v>
      </c>
      <c r="AM120" s="1">
        <v>4090</v>
      </c>
      <c r="AN120" s="1">
        <v>4466</v>
      </c>
      <c r="AO120" s="1">
        <v>4595</v>
      </c>
      <c r="AP120" s="1">
        <v>4055</v>
      </c>
      <c r="AQ120" s="1">
        <v>4376</v>
      </c>
      <c r="AR120" s="1">
        <v>4855</v>
      </c>
      <c r="AS120" s="1">
        <v>5509</v>
      </c>
      <c r="AT120" s="1">
        <v>5543</v>
      </c>
      <c r="AU120" s="1">
        <v>4777</v>
      </c>
      <c r="AV120" s="1">
        <v>5865</v>
      </c>
      <c r="AW120" s="1">
        <v>6243</v>
      </c>
      <c r="AX120" s="1">
        <v>7532</v>
      </c>
      <c r="AY120" s="1">
        <v>8023</v>
      </c>
      <c r="AZ120" s="1">
        <v>8562</v>
      </c>
    </row>
    <row r="121" spans="1:52" x14ac:dyDescent="0.3">
      <c r="A121" t="s">
        <v>120</v>
      </c>
      <c r="B121" s="1">
        <v>10039</v>
      </c>
      <c r="C121" s="1">
        <v>10710</v>
      </c>
      <c r="D121" s="1">
        <v>12347</v>
      </c>
      <c r="E121" s="1">
        <v>14790</v>
      </c>
      <c r="F121" s="1">
        <v>17779</v>
      </c>
      <c r="G121" s="1">
        <v>23807</v>
      </c>
      <c r="H121" s="1">
        <v>19329</v>
      </c>
      <c r="I121" s="1">
        <v>19510</v>
      </c>
      <c r="J121" s="1">
        <v>17635</v>
      </c>
      <c r="K121" s="1">
        <v>16130</v>
      </c>
      <c r="L121" s="1">
        <v>16280</v>
      </c>
      <c r="M121" s="1">
        <v>21497</v>
      </c>
      <c r="N121" s="1">
        <v>23713</v>
      </c>
      <c r="O121" s="1">
        <v>28080</v>
      </c>
      <c r="P121" s="1">
        <v>28901</v>
      </c>
      <c r="Q121" s="1">
        <v>32661</v>
      </c>
      <c r="R121" s="1">
        <v>34940</v>
      </c>
      <c r="S121" s="1">
        <v>36483</v>
      </c>
      <c r="T121" s="1">
        <v>34259</v>
      </c>
      <c r="U121" s="1">
        <v>38532</v>
      </c>
      <c r="V121" s="1">
        <v>42238</v>
      </c>
      <c r="W121" s="1">
        <v>46710</v>
      </c>
      <c r="X121" s="1">
        <v>42366</v>
      </c>
      <c r="Y121" s="1">
        <v>45243</v>
      </c>
      <c r="Z121" s="1">
        <v>45055</v>
      </c>
      <c r="AA121" s="1">
        <v>42053</v>
      </c>
      <c r="AB121" s="1">
        <v>42704</v>
      </c>
      <c r="AC121" s="1">
        <v>45711</v>
      </c>
      <c r="AD121" s="1">
        <v>56345</v>
      </c>
      <c r="AE121" s="1">
        <v>64528</v>
      </c>
      <c r="AF121" s="1">
        <v>67468</v>
      </c>
      <c r="AG121" s="1">
        <v>74284</v>
      </c>
      <c r="AH121" s="1">
        <v>85539</v>
      </c>
      <c r="AI121" s="1">
        <v>100112</v>
      </c>
      <c r="AJ121" s="1">
        <v>100535</v>
      </c>
      <c r="AK121" s="1">
        <v>100881</v>
      </c>
      <c r="AL121" s="1">
        <v>109705</v>
      </c>
      <c r="AM121" s="1">
        <v>106345</v>
      </c>
      <c r="AN121" s="1">
        <v>115608</v>
      </c>
      <c r="AO121" s="1">
        <v>119131</v>
      </c>
      <c r="AP121" s="1">
        <v>110414</v>
      </c>
      <c r="AQ121" s="1">
        <v>111573</v>
      </c>
      <c r="AR121" s="1">
        <v>118541</v>
      </c>
      <c r="AS121" s="1">
        <v>127341</v>
      </c>
      <c r="AT121" s="1">
        <v>128920</v>
      </c>
      <c r="AU121" s="1">
        <v>121354</v>
      </c>
      <c r="AV121" s="1">
        <v>142022</v>
      </c>
      <c r="AW121" s="1">
        <v>130952</v>
      </c>
      <c r="AX121" s="1">
        <v>144438</v>
      </c>
      <c r="AY121" s="1">
        <v>155350</v>
      </c>
      <c r="AZ121" s="1">
        <v>165835</v>
      </c>
    </row>
    <row r="122" spans="1:52" x14ac:dyDescent="0.3">
      <c r="A122" t="s">
        <v>121</v>
      </c>
      <c r="B122" s="1">
        <v>4841</v>
      </c>
      <c r="C122" s="1">
        <v>4409</v>
      </c>
      <c r="D122" s="1">
        <v>4463</v>
      </c>
      <c r="E122" s="1">
        <v>4663</v>
      </c>
      <c r="F122" s="1">
        <v>4903</v>
      </c>
      <c r="G122" s="1">
        <v>4615</v>
      </c>
      <c r="H122" s="1">
        <v>3585</v>
      </c>
      <c r="I122" s="1">
        <v>3662</v>
      </c>
      <c r="J122" s="1">
        <v>3280</v>
      </c>
      <c r="K122" s="1">
        <v>3417</v>
      </c>
      <c r="L122" s="1">
        <v>4516</v>
      </c>
      <c r="M122" s="1">
        <v>5301</v>
      </c>
      <c r="N122" s="1">
        <v>2395</v>
      </c>
      <c r="O122" s="1">
        <v>2105</v>
      </c>
      <c r="P122" s="1">
        <v>2199</v>
      </c>
      <c r="Q122" s="1">
        <v>3529</v>
      </c>
      <c r="R122" s="1">
        <v>3855</v>
      </c>
      <c r="S122" s="1">
        <v>2799</v>
      </c>
      <c r="T122" s="1">
        <v>2883</v>
      </c>
      <c r="U122" s="1">
        <v>2958</v>
      </c>
      <c r="V122" s="1">
        <v>3062</v>
      </c>
      <c r="W122" s="1">
        <v>4030</v>
      </c>
      <c r="X122" s="1">
        <v>4874</v>
      </c>
      <c r="Y122" s="1">
        <v>5551</v>
      </c>
      <c r="Z122" s="1">
        <v>6285</v>
      </c>
      <c r="AA122" s="1">
        <v>5931</v>
      </c>
      <c r="AB122" s="1">
        <v>5650</v>
      </c>
      <c r="AC122" s="1">
        <v>5951</v>
      </c>
      <c r="AD122" s="1">
        <v>6584</v>
      </c>
      <c r="AE122" s="1">
        <v>7937</v>
      </c>
      <c r="AF122" s="1">
        <v>8868</v>
      </c>
      <c r="AG122" s="1">
        <v>9510</v>
      </c>
      <c r="AH122" s="1">
        <v>10811</v>
      </c>
      <c r="AI122" s="1">
        <v>12920</v>
      </c>
      <c r="AJ122" s="1">
        <v>12264</v>
      </c>
      <c r="AK122" s="1">
        <v>11412</v>
      </c>
      <c r="AL122" s="1">
        <v>14619</v>
      </c>
      <c r="AM122" s="1">
        <v>16688</v>
      </c>
      <c r="AN122" s="1">
        <v>17198</v>
      </c>
      <c r="AO122" s="1">
        <v>17978</v>
      </c>
      <c r="AP122" s="1">
        <v>16209</v>
      </c>
      <c r="AQ122" s="1">
        <v>12069</v>
      </c>
      <c r="AR122" s="1">
        <v>13265</v>
      </c>
      <c r="AS122" s="1">
        <v>15017</v>
      </c>
      <c r="AT122" s="1">
        <v>15513</v>
      </c>
      <c r="AU122" s="1">
        <v>14235</v>
      </c>
      <c r="AV122" s="1">
        <v>16168</v>
      </c>
      <c r="AW122" s="1">
        <v>18884</v>
      </c>
      <c r="AX122" s="1">
        <v>20954</v>
      </c>
      <c r="AY122" s="1">
        <v>21944</v>
      </c>
      <c r="AZ122" s="1">
        <v>23771</v>
      </c>
    </row>
    <row r="123" spans="1:52" x14ac:dyDescent="0.3">
      <c r="A123" t="s">
        <v>122</v>
      </c>
      <c r="B123" s="1">
        <v>3680</v>
      </c>
      <c r="C123" s="1">
        <v>4089</v>
      </c>
      <c r="D123" s="1">
        <v>4191</v>
      </c>
      <c r="E123" s="1">
        <v>4678</v>
      </c>
      <c r="F123" s="1">
        <v>5365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>
        <v>5122</v>
      </c>
      <c r="Z123" s="1">
        <v>6400</v>
      </c>
      <c r="AA123" s="1">
        <v>7688</v>
      </c>
      <c r="AB123" s="1">
        <v>7087</v>
      </c>
      <c r="AC123" s="1">
        <v>6878</v>
      </c>
      <c r="AD123" s="1">
        <v>8826</v>
      </c>
      <c r="AE123" s="1">
        <v>10688</v>
      </c>
      <c r="AF123" s="1">
        <v>12051</v>
      </c>
      <c r="AG123" s="1">
        <v>13502</v>
      </c>
      <c r="AH123" s="1">
        <v>17745</v>
      </c>
      <c r="AI123" s="1">
        <v>25313</v>
      </c>
      <c r="AJ123" s="1">
        <v>30675</v>
      </c>
      <c r="AK123" s="1">
        <v>37851</v>
      </c>
      <c r="AL123" s="1">
        <v>53250</v>
      </c>
      <c r="AM123" s="1">
        <v>58374</v>
      </c>
      <c r="AN123" s="1">
        <v>62656</v>
      </c>
      <c r="AO123" s="1">
        <v>53250</v>
      </c>
      <c r="AP123" s="1">
        <v>57338</v>
      </c>
      <c r="AQ123" s="1">
        <v>58808</v>
      </c>
      <c r="AR123" s="1">
        <v>60285</v>
      </c>
      <c r="AS123" s="1">
        <v>67051</v>
      </c>
      <c r="AT123" s="1">
        <v>82568</v>
      </c>
      <c r="AU123" s="1">
        <v>65631</v>
      </c>
      <c r="AV123" s="1">
        <v>58264</v>
      </c>
      <c r="AW123" s="1">
        <v>61723</v>
      </c>
      <c r="AX123" s="1">
        <v>61466</v>
      </c>
      <c r="AY123" s="1">
        <v>61176</v>
      </c>
      <c r="AZ123" s="1">
        <v>64944</v>
      </c>
    </row>
    <row r="124" spans="1:52" x14ac:dyDescent="0.3">
      <c r="A124" t="s">
        <v>123</v>
      </c>
      <c r="B124" s="1">
        <v>1169</v>
      </c>
      <c r="C124" s="1">
        <v>1123</v>
      </c>
      <c r="D124" s="1">
        <v>1248</v>
      </c>
      <c r="E124" s="1">
        <v>1438</v>
      </c>
      <c r="F124" s="1">
        <v>1777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>
        <v>2568</v>
      </c>
      <c r="R124" s="1">
        <v>2841</v>
      </c>
      <c r="S124" s="1">
        <v>3296</v>
      </c>
      <c r="T124" s="1">
        <v>3156</v>
      </c>
      <c r="U124" s="1">
        <v>3537</v>
      </c>
      <c r="V124" s="1">
        <v>3948</v>
      </c>
      <c r="W124" s="1">
        <v>3954</v>
      </c>
      <c r="X124" s="1">
        <v>4110</v>
      </c>
      <c r="Y124" s="1">
        <v>3832</v>
      </c>
      <c r="Z124" s="1">
        <v>3824</v>
      </c>
      <c r="AA124" s="1">
        <v>3941</v>
      </c>
      <c r="AB124" s="1">
        <v>3577</v>
      </c>
      <c r="AC124" s="1">
        <v>3396</v>
      </c>
      <c r="AD124" s="1">
        <v>4974</v>
      </c>
      <c r="AE124" s="1">
        <v>6673</v>
      </c>
      <c r="AF124" s="1">
        <v>7324</v>
      </c>
      <c r="AG124" s="1">
        <v>7711</v>
      </c>
      <c r="AH124" s="1">
        <v>8730</v>
      </c>
      <c r="AI124" s="1">
        <v>8496</v>
      </c>
      <c r="AJ124" s="1">
        <v>8915</v>
      </c>
      <c r="AK124" s="1">
        <v>11281</v>
      </c>
      <c r="AL124" s="1">
        <v>12423</v>
      </c>
      <c r="AM124" s="1">
        <v>13016</v>
      </c>
      <c r="AN124" s="1">
        <v>12168</v>
      </c>
      <c r="AO124" s="1">
        <v>12434</v>
      </c>
      <c r="AP124" s="1">
        <v>11450</v>
      </c>
      <c r="AQ124" s="1">
        <v>10719</v>
      </c>
      <c r="AR124" s="1">
        <v>12883</v>
      </c>
      <c r="AS124" s="1">
        <v>13676</v>
      </c>
      <c r="AT124" s="1">
        <v>12539</v>
      </c>
      <c r="AU124" s="1">
        <v>10583</v>
      </c>
      <c r="AV124" s="1">
        <v>12399</v>
      </c>
      <c r="AW124" s="1">
        <v>12564</v>
      </c>
      <c r="AX124" s="1">
        <v>12402</v>
      </c>
      <c r="AY124" s="1">
        <v>13370</v>
      </c>
      <c r="AZ124" s="1">
        <v>14214</v>
      </c>
    </row>
    <row r="125" spans="1:52" x14ac:dyDescent="0.3">
      <c r="A125" t="s">
        <v>124</v>
      </c>
      <c r="B125" s="1">
        <v>29</v>
      </c>
      <c r="C125" s="1">
        <v>29</v>
      </c>
      <c r="D125" s="1">
        <v>28</v>
      </c>
      <c r="E125" s="1">
        <v>31</v>
      </c>
      <c r="F125" s="1">
        <v>33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>
        <v>32</v>
      </c>
      <c r="AF125" s="1">
        <v>31</v>
      </c>
      <c r="AG125" s="1">
        <v>29</v>
      </c>
      <c r="AH125" s="1">
        <v>25</v>
      </c>
      <c r="AI125" s="1">
        <v>36</v>
      </c>
      <c r="AJ125" s="1">
        <v>47</v>
      </c>
      <c r="AK125" s="1">
        <v>50</v>
      </c>
      <c r="AL125" s="1">
        <v>69</v>
      </c>
      <c r="AM125" s="1">
        <v>101</v>
      </c>
      <c r="AN125" s="1">
        <v>89</v>
      </c>
      <c r="AO125" s="1">
        <v>97</v>
      </c>
      <c r="AP125" s="1">
        <v>76</v>
      </c>
      <c r="AQ125" s="1">
        <v>100</v>
      </c>
      <c r="AR125" s="1">
        <v>109</v>
      </c>
      <c r="AS125" s="1">
        <v>131</v>
      </c>
      <c r="AT125" s="1">
        <v>125</v>
      </c>
      <c r="AU125" s="1">
        <v>125</v>
      </c>
      <c r="AV125" s="1">
        <v>176</v>
      </c>
      <c r="AW125" s="1">
        <v>152</v>
      </c>
      <c r="AX125" s="1">
        <v>152</v>
      </c>
      <c r="AY125" s="1">
        <v>161</v>
      </c>
      <c r="AZ125" s="1">
        <v>169</v>
      </c>
    </row>
    <row r="126" spans="1:52" x14ac:dyDescent="0.3">
      <c r="A126" t="s">
        <v>125</v>
      </c>
      <c r="B126" s="1">
        <v>1617</v>
      </c>
      <c r="C126" s="1">
        <v>1494</v>
      </c>
      <c r="D126" s="1">
        <v>1484</v>
      </c>
      <c r="E126" s="1">
        <v>1749</v>
      </c>
      <c r="F126" s="1">
        <v>1987</v>
      </c>
      <c r="G126" s="1">
        <v>2258</v>
      </c>
      <c r="H126" s="1">
        <v>2641</v>
      </c>
      <c r="I126" s="1">
        <v>2669</v>
      </c>
      <c r="J126" s="1">
        <v>2920</v>
      </c>
      <c r="K126" s="1">
        <v>3089</v>
      </c>
      <c r="L126" s="1">
        <v>3208</v>
      </c>
      <c r="M126" s="1">
        <v>3491</v>
      </c>
      <c r="N126" s="1">
        <v>3621</v>
      </c>
      <c r="O126" s="1">
        <v>4270</v>
      </c>
      <c r="P126" s="1">
        <v>4317</v>
      </c>
      <c r="Q126" s="1">
        <v>4442</v>
      </c>
      <c r="R126" s="1">
        <v>4861</v>
      </c>
      <c r="S126" s="1">
        <v>4417</v>
      </c>
      <c r="T126" s="1">
        <v>4743</v>
      </c>
      <c r="U126" s="1">
        <v>4954</v>
      </c>
      <c r="V126" s="1">
        <v>5379</v>
      </c>
      <c r="W126" s="1">
        <v>5544</v>
      </c>
      <c r="X126" s="1">
        <v>6027</v>
      </c>
      <c r="Y126" s="1">
        <v>5992</v>
      </c>
      <c r="Z126" s="1">
        <v>6164</v>
      </c>
      <c r="AA126" s="1">
        <v>6537</v>
      </c>
      <c r="AB126" s="1">
        <v>6719</v>
      </c>
      <c r="AC126" s="1">
        <v>6816</v>
      </c>
      <c r="AD126" s="1">
        <v>7218</v>
      </c>
      <c r="AE126" s="1">
        <v>8297</v>
      </c>
      <c r="AF126" s="1">
        <v>9331</v>
      </c>
      <c r="AG126" s="1">
        <v>10316</v>
      </c>
      <c r="AH126" s="1">
        <v>11777</v>
      </c>
      <c r="AI126" s="1">
        <v>14310</v>
      </c>
      <c r="AJ126" s="1">
        <v>14663</v>
      </c>
      <c r="AK126" s="1">
        <v>18253</v>
      </c>
      <c r="AL126" s="1">
        <v>21685</v>
      </c>
      <c r="AM126" s="1">
        <v>21703</v>
      </c>
      <c r="AN126" s="1">
        <v>22162</v>
      </c>
      <c r="AO126" s="1">
        <v>22722</v>
      </c>
      <c r="AP126" s="1">
        <v>24361</v>
      </c>
      <c r="AQ126" s="1">
        <v>24524</v>
      </c>
      <c r="AR126" s="1">
        <v>28972</v>
      </c>
      <c r="AS126" s="1">
        <v>33112</v>
      </c>
      <c r="AT126" s="1">
        <v>34186</v>
      </c>
      <c r="AU126" s="1">
        <v>33434</v>
      </c>
      <c r="AV126" s="1">
        <v>36927</v>
      </c>
      <c r="AW126" s="1">
        <v>41183</v>
      </c>
      <c r="AX126" s="1">
        <v>40907</v>
      </c>
      <c r="AY126" s="1">
        <v>43419</v>
      </c>
      <c r="AZ126" s="1">
        <v>46080</v>
      </c>
    </row>
    <row r="127" spans="1:52" x14ac:dyDescent="0.3">
      <c r="A127" t="s">
        <v>126</v>
      </c>
      <c r="B127" s="1">
        <v>93227</v>
      </c>
      <c r="C127" s="1">
        <v>101716</v>
      </c>
      <c r="D127" s="1">
        <v>118821</v>
      </c>
      <c r="E127" s="1">
        <v>145331</v>
      </c>
      <c r="F127" s="1">
        <v>166432</v>
      </c>
      <c r="G127" s="1">
        <v>194031</v>
      </c>
      <c r="H127" s="1">
        <v>162629</v>
      </c>
      <c r="I127" s="1">
        <v>157560</v>
      </c>
      <c r="J127" s="1">
        <v>153396</v>
      </c>
      <c r="K127" s="1">
        <v>142779</v>
      </c>
      <c r="L127" s="1">
        <v>144859</v>
      </c>
      <c r="M127" s="1">
        <v>201883</v>
      </c>
      <c r="N127" s="1">
        <v>247277</v>
      </c>
      <c r="O127" s="1">
        <v>264596</v>
      </c>
      <c r="P127" s="1">
        <v>260900</v>
      </c>
      <c r="Q127" s="1">
        <v>321859</v>
      </c>
      <c r="R127" s="1">
        <v>331565</v>
      </c>
      <c r="S127" s="1">
        <v>366520</v>
      </c>
      <c r="T127" s="1">
        <v>356434</v>
      </c>
      <c r="U127" s="1">
        <v>383091</v>
      </c>
      <c r="V127" s="1">
        <v>453377</v>
      </c>
      <c r="W127" s="1">
        <v>451508</v>
      </c>
      <c r="X127" s="1">
        <v>418023</v>
      </c>
      <c r="Y127" s="1">
        <v>439215</v>
      </c>
      <c r="Z127" s="1">
        <v>448223</v>
      </c>
      <c r="AA127" s="1">
        <v>417834</v>
      </c>
      <c r="AB127" s="1">
        <v>432539</v>
      </c>
      <c r="AC127" s="1">
        <v>475194</v>
      </c>
      <c r="AD127" s="1">
        <v>582290</v>
      </c>
      <c r="AE127" s="1">
        <v>660925</v>
      </c>
      <c r="AF127" s="1">
        <v>688514</v>
      </c>
      <c r="AG127" s="1">
        <v>737633</v>
      </c>
      <c r="AH127" s="1">
        <v>853600</v>
      </c>
      <c r="AI127" s="1">
        <v>957797</v>
      </c>
      <c r="AJ127" s="1">
        <v>878000</v>
      </c>
      <c r="AK127" s="1">
        <v>853161</v>
      </c>
      <c r="AL127" s="1">
        <v>912980</v>
      </c>
      <c r="AM127" s="1">
        <v>846225</v>
      </c>
      <c r="AN127" s="1">
        <v>883964</v>
      </c>
      <c r="AO127" s="1">
        <v>901789</v>
      </c>
      <c r="AP127" s="1">
        <v>775822</v>
      </c>
      <c r="AQ127" s="1">
        <v>796944</v>
      </c>
      <c r="AR127" s="1">
        <v>847934</v>
      </c>
      <c r="AS127" s="1">
        <v>930155</v>
      </c>
      <c r="AT127" s="1">
        <v>929006</v>
      </c>
      <c r="AU127" s="1">
        <v>931814</v>
      </c>
      <c r="AV127" s="1">
        <v>1055173</v>
      </c>
      <c r="AW127" s="1">
        <v>1047364</v>
      </c>
      <c r="AX127" s="1">
        <v>1154694</v>
      </c>
      <c r="AY127" s="1">
        <v>1227174</v>
      </c>
      <c r="AZ127" s="1">
        <v>1272011</v>
      </c>
    </row>
    <row r="128" spans="1:52" x14ac:dyDescent="0.3">
      <c r="A128" t="s">
        <v>127</v>
      </c>
      <c r="B128" s="1">
        <v>13656</v>
      </c>
      <c r="C128" s="1">
        <v>13874</v>
      </c>
      <c r="D128" s="1">
        <v>15132</v>
      </c>
      <c r="E128" s="1">
        <v>18315</v>
      </c>
      <c r="F128" s="1">
        <v>21051</v>
      </c>
      <c r="G128" s="1">
        <v>22551</v>
      </c>
      <c r="H128" s="1">
        <v>23472</v>
      </c>
      <c r="I128" s="1">
        <v>23237</v>
      </c>
      <c r="J128" s="1">
        <v>22484</v>
      </c>
      <c r="K128" s="1">
        <v>22377</v>
      </c>
      <c r="L128" s="1">
        <v>22539</v>
      </c>
      <c r="M128" s="1">
        <v>27428</v>
      </c>
      <c r="N128" s="1">
        <v>36978</v>
      </c>
      <c r="O128" s="1">
        <v>45505</v>
      </c>
      <c r="P128" s="1">
        <v>44132</v>
      </c>
      <c r="Q128" s="1">
        <v>45722</v>
      </c>
      <c r="R128" s="1">
        <v>43440</v>
      </c>
      <c r="S128" s="1">
        <v>41515</v>
      </c>
      <c r="T128" s="1">
        <v>44807</v>
      </c>
      <c r="U128" s="1">
        <v>52920</v>
      </c>
      <c r="V128" s="1">
        <v>62241</v>
      </c>
      <c r="W128" s="1">
        <v>69100</v>
      </c>
      <c r="X128" s="1">
        <v>68869</v>
      </c>
      <c r="Y128" s="1">
        <v>56815</v>
      </c>
      <c r="Z128" s="1">
        <v>58898</v>
      </c>
      <c r="AA128" s="1">
        <v>54127</v>
      </c>
      <c r="AB128" s="1">
        <v>53128</v>
      </c>
      <c r="AC128" s="1">
        <v>62061</v>
      </c>
      <c r="AD128" s="1">
        <v>82408</v>
      </c>
      <c r="AE128" s="1">
        <v>101601</v>
      </c>
      <c r="AF128" s="1">
        <v>113264</v>
      </c>
      <c r="AG128" s="1">
        <v>109740</v>
      </c>
      <c r="AH128" s="1">
        <v>134859</v>
      </c>
      <c r="AI128" s="1">
        <v>135606</v>
      </c>
      <c r="AJ128" s="1">
        <v>122011</v>
      </c>
      <c r="AK128" s="1">
        <v>145736</v>
      </c>
      <c r="AL128" s="1">
        <v>167167</v>
      </c>
      <c r="AM128" s="1">
        <v>175361</v>
      </c>
      <c r="AN128" s="1">
        <v>187292</v>
      </c>
      <c r="AO128" s="1">
        <v>200305</v>
      </c>
      <c r="AP128" s="1">
        <v>176455</v>
      </c>
      <c r="AQ128" s="1">
        <v>186081</v>
      </c>
      <c r="AR128" s="1">
        <v>203819</v>
      </c>
      <c r="AS128" s="1">
        <v>209747</v>
      </c>
      <c r="AT128" s="1">
        <v>210995</v>
      </c>
      <c r="AU128" s="1">
        <v>210541</v>
      </c>
      <c r="AV128" s="1">
        <v>249775</v>
      </c>
      <c r="AW128" s="1">
        <v>245203</v>
      </c>
      <c r="AX128" s="1">
        <v>253436</v>
      </c>
      <c r="AY128" s="1">
        <v>257728</v>
      </c>
      <c r="AZ128" s="1">
        <v>248666</v>
      </c>
    </row>
    <row r="129" spans="1:52" x14ac:dyDescent="0.3">
      <c r="A129" t="s">
        <v>128</v>
      </c>
      <c r="B129" s="1">
        <v>1806</v>
      </c>
      <c r="C129" s="1">
        <v>2098</v>
      </c>
      <c r="D129" s="1">
        <v>2543</v>
      </c>
      <c r="E129" s="1">
        <v>2431</v>
      </c>
      <c r="F129" s="1">
        <v>1740</v>
      </c>
      <c r="G129" s="1">
        <v>1832</v>
      </c>
      <c r="H129" s="1">
        <v>2156</v>
      </c>
      <c r="I129" s="1">
        <v>2497</v>
      </c>
      <c r="J129" s="1">
        <v>2900</v>
      </c>
      <c r="K129" s="1">
        <v>3966</v>
      </c>
      <c r="L129" s="1">
        <v>3854</v>
      </c>
      <c r="M129" s="1">
        <v>5800</v>
      </c>
      <c r="N129" s="1">
        <v>3409</v>
      </c>
      <c r="O129" s="1">
        <v>1499</v>
      </c>
      <c r="P129" s="1">
        <v>2082</v>
      </c>
      <c r="Q129" s="1">
        <v>519</v>
      </c>
      <c r="R129" s="1">
        <v>3678</v>
      </c>
      <c r="S129" s="1">
        <v>3894</v>
      </c>
      <c r="T129" s="1">
        <v>3726</v>
      </c>
      <c r="U129" s="1">
        <v>3861</v>
      </c>
      <c r="V129" s="1">
        <v>4140</v>
      </c>
      <c r="W129" s="1">
        <v>4308</v>
      </c>
      <c r="X129" s="1">
        <v>4390</v>
      </c>
      <c r="Y129" s="1">
        <v>4635</v>
      </c>
      <c r="Z129" s="1">
        <v>4856</v>
      </c>
      <c r="AA129" s="1">
        <v>5109</v>
      </c>
      <c r="AB129" s="1">
        <v>5335</v>
      </c>
      <c r="AC129" s="1">
        <v>5224</v>
      </c>
      <c r="AD129" s="1">
        <v>5322</v>
      </c>
      <c r="AE129" s="1">
        <v>5793</v>
      </c>
      <c r="AF129" s="1">
        <v>6321</v>
      </c>
      <c r="AG129" s="1">
        <v>6764</v>
      </c>
      <c r="AH129" s="1">
        <v>7423</v>
      </c>
      <c r="AI129" s="1">
        <v>8497</v>
      </c>
      <c r="AJ129" s="1">
        <v>8297</v>
      </c>
      <c r="AK129" s="1">
        <v>8759</v>
      </c>
      <c r="AL129" s="1">
        <v>9774</v>
      </c>
      <c r="AM129" s="1">
        <v>10532</v>
      </c>
      <c r="AN129" s="1">
        <v>10983</v>
      </c>
      <c r="AO129" s="1">
        <v>11880</v>
      </c>
      <c r="AP129" s="1">
        <v>12757</v>
      </c>
      <c r="AQ129" s="1">
        <v>13286</v>
      </c>
      <c r="AR129" s="1">
        <v>13786</v>
      </c>
      <c r="AS129" s="1">
        <v>13025</v>
      </c>
      <c r="AT129" s="1">
        <v>12713</v>
      </c>
      <c r="AU129" s="1">
        <v>12730</v>
      </c>
      <c r="AV129" s="1">
        <v>14208</v>
      </c>
      <c r="AW129" s="1">
        <v>15634</v>
      </c>
      <c r="AX129" s="1">
        <v>17820</v>
      </c>
      <c r="AY129" s="1">
        <v>19710</v>
      </c>
      <c r="AZ129" s="1">
        <v>21155</v>
      </c>
    </row>
    <row r="130" spans="1:52" x14ac:dyDescent="0.3">
      <c r="A130" t="s">
        <v>129</v>
      </c>
      <c r="B130" s="1">
        <v>894</v>
      </c>
      <c r="C130" s="1">
        <v>1058</v>
      </c>
      <c r="D130" s="1">
        <v>1250</v>
      </c>
      <c r="E130" s="1">
        <v>1692</v>
      </c>
      <c r="F130" s="1">
        <v>2215</v>
      </c>
      <c r="G130" s="1">
        <v>3531</v>
      </c>
      <c r="H130" s="1">
        <v>3056</v>
      </c>
      <c r="I130" s="1">
        <v>2840</v>
      </c>
      <c r="J130" s="1">
        <v>2538</v>
      </c>
      <c r="K130" s="1">
        <v>2056</v>
      </c>
      <c r="L130" s="1">
        <v>2027</v>
      </c>
      <c r="M130" s="1">
        <v>2680</v>
      </c>
      <c r="N130" s="1">
        <v>3143</v>
      </c>
      <c r="O130" s="1">
        <v>3210</v>
      </c>
      <c r="P130" s="1">
        <v>3068</v>
      </c>
      <c r="Q130" s="1">
        <v>3491</v>
      </c>
      <c r="R130" s="1">
        <v>3271</v>
      </c>
      <c r="S130" s="1">
        <v>3372</v>
      </c>
      <c r="T130" s="1">
        <v>3041</v>
      </c>
      <c r="U130" s="1">
        <v>1935</v>
      </c>
      <c r="V130" s="1">
        <v>2296</v>
      </c>
      <c r="W130" s="1">
        <v>2397</v>
      </c>
      <c r="X130" s="1">
        <v>2285</v>
      </c>
      <c r="Y130" s="1">
        <v>2639</v>
      </c>
      <c r="Z130" s="1">
        <v>2532</v>
      </c>
      <c r="AA130" s="1">
        <v>2235</v>
      </c>
      <c r="AB130" s="1">
        <v>2442</v>
      </c>
      <c r="AC130" s="1">
        <v>2772</v>
      </c>
      <c r="AD130" s="1">
        <v>3382</v>
      </c>
      <c r="AE130" s="1">
        <v>3746</v>
      </c>
      <c r="AF130" s="1">
        <v>4372</v>
      </c>
      <c r="AG130" s="1">
        <v>4743</v>
      </c>
      <c r="AH130" s="1">
        <v>5716</v>
      </c>
      <c r="AI130" s="1">
        <v>7279</v>
      </c>
      <c r="AJ130" s="1">
        <v>7324</v>
      </c>
      <c r="AK130" s="1">
        <v>7838</v>
      </c>
      <c r="AL130" s="1">
        <v>8754</v>
      </c>
      <c r="AM130" s="1">
        <v>9412</v>
      </c>
      <c r="AN130" s="1">
        <v>10206</v>
      </c>
      <c r="AO130" s="1">
        <v>10830</v>
      </c>
      <c r="AP130" s="1">
        <v>9684</v>
      </c>
      <c r="AQ130" s="1">
        <v>10350</v>
      </c>
      <c r="AR130" s="1">
        <v>11181</v>
      </c>
      <c r="AS130" s="1">
        <v>12814</v>
      </c>
      <c r="AT130" s="1">
        <v>12917</v>
      </c>
      <c r="AU130" s="1">
        <v>13764</v>
      </c>
      <c r="AV130" s="1">
        <v>14923</v>
      </c>
      <c r="AW130" s="1">
        <v>15458</v>
      </c>
      <c r="AX130" s="1">
        <v>16809</v>
      </c>
      <c r="AY130" s="1">
        <v>19866</v>
      </c>
      <c r="AZ130" s="1">
        <v>21874</v>
      </c>
    </row>
    <row r="131" spans="1:52" x14ac:dyDescent="0.3">
      <c r="A131" t="s">
        <v>130</v>
      </c>
      <c r="B131" s="1">
        <v>39763</v>
      </c>
      <c r="C131" s="1">
        <v>48441</v>
      </c>
      <c r="D131" s="1">
        <v>54157</v>
      </c>
      <c r="E131" s="1">
        <v>60593</v>
      </c>
      <c r="F131" s="1">
        <v>74798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>
        <v>62165</v>
      </c>
      <c r="R131" s="1">
        <v>60131</v>
      </c>
      <c r="S131" s="1">
        <v>52275</v>
      </c>
      <c r="T131" s="1">
        <v>56807</v>
      </c>
      <c r="U131" s="1">
        <v>80128</v>
      </c>
      <c r="V131" s="1">
        <v>132230</v>
      </c>
      <c r="W131" s="1">
        <v>172686</v>
      </c>
      <c r="X131" s="1">
        <v>187866</v>
      </c>
      <c r="Y131" s="1">
        <v>209677</v>
      </c>
      <c r="Z131" s="1">
        <v>57477</v>
      </c>
      <c r="AA131" s="1">
        <v>67824</v>
      </c>
      <c r="AB131" s="1">
        <v>73128</v>
      </c>
      <c r="AC131" s="1">
        <v>93983</v>
      </c>
      <c r="AD131" s="1">
        <v>102935</v>
      </c>
      <c r="AE131" s="1">
        <v>130345</v>
      </c>
      <c r="AF131" s="1">
        <v>169645</v>
      </c>
      <c r="AG131" s="1">
        <v>222791</v>
      </c>
      <c r="AH131" s="1">
        <v>266334</v>
      </c>
      <c r="AI131" s="1">
        <v>335378</v>
      </c>
      <c r="AJ131" s="1">
        <v>302456</v>
      </c>
      <c r="AK131" s="1">
        <v>374098</v>
      </c>
      <c r="AL131" s="1">
        <v>419942</v>
      </c>
      <c r="AM131" s="1">
        <v>467157</v>
      </c>
      <c r="AN131" s="1">
        <v>521861</v>
      </c>
      <c r="AO131" s="1">
        <v>576004</v>
      </c>
      <c r="AP131" s="1">
        <v>494307</v>
      </c>
      <c r="AQ131" s="1">
        <v>405019</v>
      </c>
      <c r="AR131" s="1">
        <v>375756</v>
      </c>
      <c r="AS131" s="1">
        <v>421739</v>
      </c>
      <c r="AT131" s="1">
        <v>474517</v>
      </c>
      <c r="AU131" s="1">
        <v>432299</v>
      </c>
      <c r="AV131" s="1">
        <v>441074</v>
      </c>
      <c r="AW131" s="1">
        <v>476468</v>
      </c>
      <c r="AX131" s="1">
        <v>363816</v>
      </c>
      <c r="AY131" s="1">
        <v>187640</v>
      </c>
      <c r="AZ131" s="1">
        <v>188271</v>
      </c>
    </row>
    <row r="132" spans="1:52" x14ac:dyDescent="0.3">
      <c r="A132" t="s">
        <v>131</v>
      </c>
      <c r="B132" s="1">
        <v>8081</v>
      </c>
      <c r="C132" s="1">
        <v>8412</v>
      </c>
      <c r="D132" s="1">
        <v>8757</v>
      </c>
      <c r="E132" s="1">
        <v>9116</v>
      </c>
      <c r="F132" s="1">
        <v>9490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3">
      <c r="A133" t="s">
        <v>132</v>
      </c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>
        <v>2443</v>
      </c>
      <c r="T133" s="1">
        <v>2687</v>
      </c>
      <c r="U133" s="1">
        <v>3561</v>
      </c>
      <c r="V133" s="1">
        <v>4687</v>
      </c>
      <c r="W133" s="1">
        <v>4642</v>
      </c>
      <c r="X133" s="1">
        <v>3928</v>
      </c>
      <c r="Y133" s="1">
        <v>3764</v>
      </c>
      <c r="Z133" s="1">
        <v>3867</v>
      </c>
      <c r="AA133" s="1">
        <v>3774</v>
      </c>
      <c r="AB133" s="1">
        <v>3709</v>
      </c>
      <c r="AC133" s="1">
        <v>3991</v>
      </c>
      <c r="AD133" s="1">
        <v>4946</v>
      </c>
      <c r="AE133" s="1">
        <v>5684</v>
      </c>
      <c r="AF133" s="1">
        <v>6257</v>
      </c>
      <c r="AG133" s="1">
        <v>6860</v>
      </c>
      <c r="AH133" s="1">
        <v>8337</v>
      </c>
      <c r="AI133" s="1">
        <v>9912</v>
      </c>
      <c r="AJ133" s="1">
        <v>9400</v>
      </c>
      <c r="AK133" s="1">
        <v>9415</v>
      </c>
      <c r="AL133" s="1">
        <v>10499</v>
      </c>
      <c r="AM133" s="1">
        <v>9751</v>
      </c>
      <c r="AN133" s="1">
        <v>10824</v>
      </c>
      <c r="AO133" s="1">
        <v>11378</v>
      </c>
      <c r="AP133" s="1">
        <v>10067</v>
      </c>
      <c r="AQ133" s="1">
        <v>10686</v>
      </c>
      <c r="AR133" s="1">
        <v>11336</v>
      </c>
      <c r="AS133" s="1">
        <v>12694</v>
      </c>
      <c r="AT133" s="1">
        <v>12609</v>
      </c>
      <c r="AU133" s="1">
        <v>12385</v>
      </c>
      <c r="AV133" s="1">
        <v>14008</v>
      </c>
      <c r="AW133" s="1">
        <v>13957</v>
      </c>
      <c r="AX133" s="1">
        <v>15772</v>
      </c>
      <c r="AY133" s="1">
        <v>16679</v>
      </c>
      <c r="AZ133" s="1">
        <v>17885</v>
      </c>
    </row>
    <row r="134" spans="1:52" x14ac:dyDescent="0.3">
      <c r="A134" t="s">
        <v>133</v>
      </c>
      <c r="B134" s="1">
        <v>927</v>
      </c>
      <c r="C134" s="1">
        <v>1021</v>
      </c>
      <c r="D134" s="1">
        <v>1178</v>
      </c>
      <c r="E134" s="1">
        <v>1305</v>
      </c>
      <c r="F134" s="1">
        <v>1444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3">
      <c r="A135" t="s">
        <v>134</v>
      </c>
      <c r="B135" s="1">
        <v>32566</v>
      </c>
      <c r="C135" s="1">
        <v>35576</v>
      </c>
      <c r="D135" s="1">
        <v>41070</v>
      </c>
      <c r="E135" s="1">
        <v>46016</v>
      </c>
      <c r="F135" s="1">
        <v>52548</v>
      </c>
      <c r="G135" s="1">
        <v>64439</v>
      </c>
      <c r="H135" s="1">
        <v>63597</v>
      </c>
      <c r="I135" s="1">
        <v>62647</v>
      </c>
      <c r="J135" s="1">
        <v>61627</v>
      </c>
      <c r="K135" s="1">
        <v>62058</v>
      </c>
      <c r="L135" s="1">
        <v>65417</v>
      </c>
      <c r="M135" s="1">
        <v>78693</v>
      </c>
      <c r="N135" s="1">
        <v>94231</v>
      </c>
      <c r="O135" s="1">
        <v>101901</v>
      </c>
      <c r="P135" s="1">
        <v>102634</v>
      </c>
      <c r="Q135" s="1">
        <v>119791</v>
      </c>
      <c r="R135" s="1">
        <v>121872</v>
      </c>
      <c r="S135" s="1">
        <v>130838</v>
      </c>
      <c r="T135" s="1">
        <v>120579</v>
      </c>
      <c r="U135" s="1">
        <v>127132</v>
      </c>
      <c r="V135" s="1">
        <v>152031</v>
      </c>
      <c r="W135" s="1">
        <v>163520</v>
      </c>
      <c r="X135" s="1">
        <v>161357</v>
      </c>
      <c r="Y135" s="1">
        <v>154230</v>
      </c>
      <c r="Z135" s="1">
        <v>162384</v>
      </c>
      <c r="AA135" s="1">
        <v>171456</v>
      </c>
      <c r="AB135" s="1">
        <v>174240</v>
      </c>
      <c r="AC135" s="1">
        <v>195915</v>
      </c>
      <c r="AD135" s="1">
        <v>229385</v>
      </c>
      <c r="AE135" s="1">
        <v>265267</v>
      </c>
      <c r="AF135" s="1">
        <v>309979</v>
      </c>
      <c r="AG135" s="1">
        <v>346914</v>
      </c>
      <c r="AH135" s="1">
        <v>402646</v>
      </c>
      <c r="AI135" s="1">
        <v>464915</v>
      </c>
      <c r="AJ135" s="1">
        <v>387974</v>
      </c>
      <c r="AK135" s="1">
        <v>431052</v>
      </c>
      <c r="AL135" s="1">
        <v>501361</v>
      </c>
      <c r="AM135" s="1">
        <v>512777</v>
      </c>
      <c r="AN135" s="1">
        <v>526014</v>
      </c>
      <c r="AO135" s="1">
        <v>501737</v>
      </c>
      <c r="AP135" s="1">
        <v>388160</v>
      </c>
      <c r="AQ135" s="1">
        <v>370957</v>
      </c>
      <c r="AR135" s="1">
        <v>401745</v>
      </c>
      <c r="AS135" s="1">
        <v>439789</v>
      </c>
      <c r="AT135" s="1">
        <v>408743</v>
      </c>
      <c r="AU135" s="1">
        <v>367633</v>
      </c>
      <c r="AV135" s="1">
        <v>503368</v>
      </c>
      <c r="AW135" s="1">
        <v>596298</v>
      </c>
      <c r="AX135" s="1">
        <v>482950</v>
      </c>
      <c r="AY135" s="1">
        <v>483727</v>
      </c>
      <c r="AZ135" s="1">
        <v>504276</v>
      </c>
    </row>
    <row r="136" spans="1:52" x14ac:dyDescent="0.3">
      <c r="A136" t="s">
        <v>135</v>
      </c>
      <c r="B136" s="1">
        <v>2196</v>
      </c>
      <c r="C136" s="1">
        <v>2681</v>
      </c>
      <c r="D136" s="1">
        <v>2870</v>
      </c>
      <c r="E136" s="1">
        <v>2871</v>
      </c>
      <c r="F136" s="1">
        <v>3911</v>
      </c>
      <c r="G136" s="1">
        <v>7269</v>
      </c>
      <c r="H136" s="1">
        <v>8849</v>
      </c>
      <c r="I136" s="1">
        <v>9285</v>
      </c>
      <c r="J136" s="1">
        <v>9733</v>
      </c>
      <c r="K136" s="1">
        <v>10726</v>
      </c>
      <c r="L136" s="1">
        <v>11916</v>
      </c>
      <c r="M136" s="1">
        <v>9433</v>
      </c>
      <c r="N136" s="1">
        <v>9890</v>
      </c>
      <c r="O136" s="1">
        <v>9613</v>
      </c>
      <c r="P136" s="1">
        <v>10743</v>
      </c>
      <c r="Q136" s="1">
        <v>13395</v>
      </c>
      <c r="R136" s="1">
        <v>13000</v>
      </c>
      <c r="S136" s="1">
        <v>14274</v>
      </c>
      <c r="T136" s="1">
        <v>14321</v>
      </c>
      <c r="U136" s="1">
        <v>14808</v>
      </c>
      <c r="V136" s="1">
        <v>15821</v>
      </c>
      <c r="W136" s="1">
        <v>17512</v>
      </c>
      <c r="X136" s="1">
        <v>18154</v>
      </c>
      <c r="Y136" s="1">
        <v>16044</v>
      </c>
      <c r="Z136" s="1">
        <v>17833</v>
      </c>
      <c r="AA136" s="1">
        <v>22259</v>
      </c>
      <c r="AB136" s="1">
        <v>22206</v>
      </c>
      <c r="AC136" s="1">
        <v>23066</v>
      </c>
      <c r="AD136" s="1">
        <v>24734</v>
      </c>
      <c r="AE136" s="1">
        <v>28379</v>
      </c>
      <c r="AF136" s="1">
        <v>35507</v>
      </c>
      <c r="AG136" s="1">
        <v>42578</v>
      </c>
      <c r="AH136" s="1">
        <v>48300</v>
      </c>
      <c r="AI136" s="1">
        <v>69805</v>
      </c>
      <c r="AJ136" s="1">
        <v>55454</v>
      </c>
      <c r="AK136" s="1">
        <v>64994</v>
      </c>
      <c r="AL136" s="1">
        <v>77497</v>
      </c>
      <c r="AM136" s="1">
        <v>87409</v>
      </c>
      <c r="AN136" s="1">
        <v>89936</v>
      </c>
      <c r="AO136" s="1">
        <v>92699</v>
      </c>
      <c r="AP136" s="1">
        <v>78711</v>
      </c>
      <c r="AQ136" s="1">
        <v>75129</v>
      </c>
      <c r="AR136" s="1">
        <v>80857</v>
      </c>
      <c r="AS136" s="1">
        <v>91506</v>
      </c>
      <c r="AT136" s="1">
        <v>88061</v>
      </c>
      <c r="AU136" s="1">
        <v>75909</v>
      </c>
      <c r="AV136" s="1">
        <v>87324</v>
      </c>
      <c r="AW136" s="1">
        <v>109853</v>
      </c>
      <c r="AX136" s="1">
        <v>105896</v>
      </c>
      <c r="AY136" s="1">
        <v>106943</v>
      </c>
      <c r="AZ136" s="1">
        <v>104351</v>
      </c>
    </row>
    <row r="137" spans="1:52" x14ac:dyDescent="0.3">
      <c r="A137" t="s">
        <v>136</v>
      </c>
      <c r="B137" s="1">
        <v>13653</v>
      </c>
      <c r="C137" s="1">
        <v>16009</v>
      </c>
      <c r="D137" s="1">
        <v>18389</v>
      </c>
      <c r="E137" s="1">
        <v>21654</v>
      </c>
      <c r="F137" s="1">
        <v>23936</v>
      </c>
      <c r="G137" s="1">
        <v>38616</v>
      </c>
      <c r="H137" s="1">
        <v>45681</v>
      </c>
      <c r="I137" s="1">
        <v>49932</v>
      </c>
      <c r="J137" s="1">
        <v>46619</v>
      </c>
      <c r="K137" s="1">
        <v>50612</v>
      </c>
      <c r="L137" s="1">
        <v>50607</v>
      </c>
      <c r="M137" s="1">
        <v>51827</v>
      </c>
      <c r="N137" s="1">
        <v>54171</v>
      </c>
      <c r="O137" s="1">
        <v>62385</v>
      </c>
      <c r="P137" s="1">
        <v>65042</v>
      </c>
      <c r="Q137" s="1">
        <v>65276</v>
      </c>
      <c r="R137" s="1">
        <v>74158</v>
      </c>
      <c r="S137" s="1">
        <v>79338</v>
      </c>
      <c r="T137" s="1">
        <v>83969</v>
      </c>
      <c r="U137" s="1">
        <v>84642</v>
      </c>
      <c r="V137" s="1">
        <v>98917</v>
      </c>
      <c r="W137" s="1">
        <v>103296</v>
      </c>
      <c r="X137" s="1">
        <v>101848</v>
      </c>
      <c r="Y137" s="1">
        <v>101381</v>
      </c>
      <c r="Z137" s="1">
        <v>96008</v>
      </c>
      <c r="AA137" s="1">
        <v>99421</v>
      </c>
      <c r="AB137" s="1">
        <v>96784</v>
      </c>
      <c r="AC137" s="1">
        <v>98169</v>
      </c>
      <c r="AD137" s="1">
        <v>112507</v>
      </c>
      <c r="AE137" s="1">
        <v>132206</v>
      </c>
      <c r="AF137" s="1">
        <v>145209</v>
      </c>
      <c r="AG137" s="1">
        <v>161871</v>
      </c>
      <c r="AH137" s="1">
        <v>184141</v>
      </c>
      <c r="AI137" s="1">
        <v>202204</v>
      </c>
      <c r="AJ137" s="1">
        <v>187074</v>
      </c>
      <c r="AK137" s="1">
        <v>196712</v>
      </c>
      <c r="AL137" s="1">
        <v>230577</v>
      </c>
      <c r="AM137" s="1">
        <v>250094</v>
      </c>
      <c r="AN137" s="1">
        <v>258674</v>
      </c>
      <c r="AO137" s="1">
        <v>271422</v>
      </c>
      <c r="AP137" s="1">
        <v>299930</v>
      </c>
      <c r="AQ137" s="1">
        <v>313623</v>
      </c>
      <c r="AR137" s="1">
        <v>339229</v>
      </c>
      <c r="AS137" s="1">
        <v>356163</v>
      </c>
      <c r="AT137" s="1">
        <v>321071</v>
      </c>
      <c r="AU137" s="1">
        <v>300410</v>
      </c>
      <c r="AV137" s="1">
        <v>348481</v>
      </c>
      <c r="AW137" s="1">
        <v>374850</v>
      </c>
      <c r="AX137" s="1">
        <v>337754</v>
      </c>
      <c r="AY137" s="1">
        <v>373078</v>
      </c>
      <c r="AZ137" s="1"/>
    </row>
    <row r="138" spans="1:52" x14ac:dyDescent="0.3">
      <c r="A138" t="s">
        <v>137</v>
      </c>
      <c r="B138" s="1">
        <v>15</v>
      </c>
      <c r="C138" s="1">
        <v>16</v>
      </c>
      <c r="D138" s="1">
        <v>17</v>
      </c>
      <c r="E138" s="1">
        <v>19</v>
      </c>
      <c r="F138" s="1">
        <v>21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>
        <v>150</v>
      </c>
      <c r="AB138" s="1">
        <v>159</v>
      </c>
      <c r="AC138" s="1">
        <v>163</v>
      </c>
      <c r="AD138" s="1">
        <v>155</v>
      </c>
      <c r="AE138" s="1">
        <v>166</v>
      </c>
      <c r="AF138" s="1">
        <v>186</v>
      </c>
      <c r="AG138" s="1">
        <v>191</v>
      </c>
      <c r="AH138" s="1">
        <v>196</v>
      </c>
      <c r="AI138" s="1">
        <v>199</v>
      </c>
      <c r="AJ138" s="1">
        <v>184</v>
      </c>
      <c r="AK138" s="1">
        <v>184</v>
      </c>
      <c r="AL138" s="1">
        <v>195</v>
      </c>
      <c r="AM138" s="1">
        <v>215</v>
      </c>
      <c r="AN138" s="1">
        <v>226</v>
      </c>
      <c r="AO138" s="1">
        <v>245</v>
      </c>
      <c r="AP138" s="1">
        <v>283</v>
      </c>
      <c r="AQ138" s="1">
        <v>303</v>
      </c>
      <c r="AR138" s="1">
        <v>290</v>
      </c>
      <c r="AS138" s="1">
        <v>288</v>
      </c>
      <c r="AT138" s="1">
        <v>282</v>
      </c>
      <c r="AU138" s="1">
        <v>259</v>
      </c>
      <c r="AV138" s="1">
        <v>236</v>
      </c>
      <c r="AW138" s="1">
        <v>248</v>
      </c>
      <c r="AX138" s="1">
        <v>275</v>
      </c>
      <c r="AY138" s="1">
        <v>306</v>
      </c>
      <c r="AZ138" s="1">
        <v>333</v>
      </c>
    </row>
    <row r="139" spans="1:52" x14ac:dyDescent="0.3">
      <c r="A139" t="s">
        <v>138</v>
      </c>
      <c r="B139" s="1">
        <v>579</v>
      </c>
      <c r="C139" s="1">
        <v>680</v>
      </c>
      <c r="D139" s="1">
        <v>700</v>
      </c>
      <c r="E139" s="1">
        <v>728</v>
      </c>
      <c r="F139" s="1">
        <v>846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>
        <v>2843</v>
      </c>
      <c r="V139" s="1">
        <v>3283</v>
      </c>
      <c r="W139" s="1">
        <v>3410</v>
      </c>
      <c r="X139" s="1">
        <v>3760</v>
      </c>
      <c r="Y139" s="1">
        <v>4068</v>
      </c>
      <c r="Z139" s="1">
        <v>4271</v>
      </c>
      <c r="AA139" s="1">
        <v>4314</v>
      </c>
      <c r="AB139" s="1">
        <v>4004</v>
      </c>
      <c r="AC139" s="1">
        <v>3556</v>
      </c>
      <c r="AD139" s="1">
        <v>3968</v>
      </c>
      <c r="AE139" s="1">
        <v>4603</v>
      </c>
      <c r="AF139" s="1">
        <v>5126</v>
      </c>
      <c r="AG139" s="1">
        <v>5348</v>
      </c>
      <c r="AH139" s="1">
        <v>5816</v>
      </c>
      <c r="AI139" s="1">
        <v>7310</v>
      </c>
      <c r="AJ139" s="1">
        <v>8086</v>
      </c>
      <c r="AK139" s="1">
        <v>9682</v>
      </c>
      <c r="AL139" s="1">
        <v>11186</v>
      </c>
      <c r="AM139" s="1">
        <v>12208</v>
      </c>
      <c r="AN139" s="1">
        <v>13516</v>
      </c>
      <c r="AO139" s="1">
        <v>13990</v>
      </c>
      <c r="AP139" s="1">
        <v>13972</v>
      </c>
      <c r="AQ139" s="1">
        <v>15405</v>
      </c>
      <c r="AR139" s="1">
        <v>16128</v>
      </c>
      <c r="AS139" s="1">
        <v>16277</v>
      </c>
      <c r="AT139" s="1">
        <v>17134</v>
      </c>
      <c r="AU139" s="1">
        <v>15532</v>
      </c>
      <c r="AV139" s="1">
        <v>18109</v>
      </c>
      <c r="AW139" s="1">
        <v>19166</v>
      </c>
      <c r="AX139" s="1">
        <v>17848</v>
      </c>
      <c r="AY139" s="1"/>
      <c r="AZ139" s="1"/>
    </row>
    <row r="140" spans="1:52" x14ac:dyDescent="0.3">
      <c r="A140" t="s">
        <v>139</v>
      </c>
      <c r="B140" s="1">
        <v>2082</v>
      </c>
      <c r="C140" s="1">
        <v>2211</v>
      </c>
      <c r="D140" s="1">
        <v>2344</v>
      </c>
      <c r="E140" s="1">
        <v>2779</v>
      </c>
      <c r="F140" s="1">
        <v>3181</v>
      </c>
      <c r="G140" s="1">
        <v>4253</v>
      </c>
      <c r="H140" s="1">
        <v>4814</v>
      </c>
      <c r="I140" s="1">
        <v>5319</v>
      </c>
      <c r="J140" s="1">
        <v>5461</v>
      </c>
      <c r="K140" s="1">
        <v>5700</v>
      </c>
      <c r="L140" s="1">
        <v>6030</v>
      </c>
      <c r="M140" s="1">
        <v>6266</v>
      </c>
      <c r="N140" s="1">
        <v>6294</v>
      </c>
      <c r="O140" s="1">
        <v>5441</v>
      </c>
      <c r="P140" s="1">
        <v>5456</v>
      </c>
      <c r="Q140" s="1">
        <v>5931</v>
      </c>
      <c r="R140" s="1">
        <v>6522</v>
      </c>
      <c r="S140" s="1">
        <v>7414</v>
      </c>
      <c r="T140" s="1">
        <v>8096</v>
      </c>
      <c r="U140" s="1">
        <v>8633</v>
      </c>
      <c r="V140" s="1">
        <v>8825</v>
      </c>
      <c r="W140" s="1">
        <v>10406</v>
      </c>
      <c r="X140" s="1">
        <v>11245</v>
      </c>
      <c r="Y140" s="1">
        <v>12191</v>
      </c>
      <c r="Z140" s="1">
        <v>12775</v>
      </c>
      <c r="AA140" s="1">
        <v>12958</v>
      </c>
      <c r="AB140" s="1">
        <v>13166</v>
      </c>
      <c r="AC140" s="1">
        <v>13685</v>
      </c>
      <c r="AD140" s="1">
        <v>14422</v>
      </c>
      <c r="AE140" s="1">
        <v>15811</v>
      </c>
      <c r="AF140" s="1">
        <v>17244</v>
      </c>
      <c r="AG140" s="1">
        <v>19109</v>
      </c>
      <c r="AH140" s="1">
        <v>22072</v>
      </c>
      <c r="AI140" s="1">
        <v>26072</v>
      </c>
      <c r="AJ140" s="1">
        <v>28104</v>
      </c>
      <c r="AK140" s="1">
        <v>30513</v>
      </c>
      <c r="AL140" s="1">
        <v>35950</v>
      </c>
      <c r="AM140" s="1">
        <v>41902</v>
      </c>
      <c r="AN140" s="1">
        <v>47261</v>
      </c>
      <c r="AO140" s="1">
        <v>51740</v>
      </c>
      <c r="AP140" s="1">
        <v>56062</v>
      </c>
      <c r="AQ140" s="1">
        <v>60017</v>
      </c>
      <c r="AR140" s="1">
        <v>64468</v>
      </c>
      <c r="AS140" s="1">
        <v>67294</v>
      </c>
      <c r="AT140" s="1">
        <v>69722</v>
      </c>
      <c r="AU140" s="1">
        <v>57087</v>
      </c>
      <c r="AV140" s="1">
        <v>67407</v>
      </c>
      <c r="AW140" s="1">
        <v>76523</v>
      </c>
      <c r="AX140" s="1">
        <v>83382</v>
      </c>
      <c r="AY140" s="1">
        <v>87688</v>
      </c>
      <c r="AZ140" s="1">
        <v>91675</v>
      </c>
    </row>
    <row r="141" spans="1:52" x14ac:dyDescent="0.3">
      <c r="A141" t="s">
        <v>140</v>
      </c>
      <c r="B141" s="1">
        <v>1536</v>
      </c>
      <c r="C141" s="1">
        <v>1652</v>
      </c>
      <c r="D141" s="1">
        <v>1819</v>
      </c>
      <c r="E141" s="1">
        <v>2211</v>
      </c>
      <c r="F141" s="1">
        <v>2543</v>
      </c>
      <c r="G141" s="1">
        <v>4087</v>
      </c>
      <c r="H141" s="1">
        <v>4011</v>
      </c>
      <c r="I141" s="1">
        <v>3805</v>
      </c>
      <c r="J141" s="1">
        <v>3799</v>
      </c>
      <c r="K141" s="1">
        <v>3509</v>
      </c>
      <c r="L141" s="1">
        <v>3250</v>
      </c>
      <c r="M141" s="1">
        <v>3535</v>
      </c>
      <c r="N141" s="1">
        <v>3885</v>
      </c>
      <c r="O141" s="1">
        <v>5400</v>
      </c>
      <c r="P141" s="1">
        <v>5238</v>
      </c>
      <c r="Q141" s="1">
        <v>4757</v>
      </c>
      <c r="R141" s="1">
        <v>5596</v>
      </c>
      <c r="S141" s="1">
        <v>6466</v>
      </c>
      <c r="T141" s="1">
        <v>7349</v>
      </c>
      <c r="U141" s="1">
        <v>8077</v>
      </c>
      <c r="V141" s="1">
        <v>7149</v>
      </c>
      <c r="W141" s="1">
        <v>7608</v>
      </c>
      <c r="X141" s="1">
        <v>7272</v>
      </c>
      <c r="Y141" s="1">
        <v>5558</v>
      </c>
      <c r="Z141" s="1">
        <v>5072</v>
      </c>
      <c r="AA141" s="1">
        <v>5169</v>
      </c>
      <c r="AB141" s="1">
        <v>4531</v>
      </c>
      <c r="AC141" s="1">
        <v>4387</v>
      </c>
      <c r="AD141" s="1">
        <v>5488</v>
      </c>
      <c r="AE141" s="1">
        <v>6279</v>
      </c>
      <c r="AF141" s="1">
        <v>7339</v>
      </c>
      <c r="AG141" s="1">
        <v>8355</v>
      </c>
      <c r="AH141" s="1">
        <v>9545</v>
      </c>
      <c r="AI141" s="1">
        <v>11671</v>
      </c>
      <c r="AJ141" s="1">
        <v>11619</v>
      </c>
      <c r="AK141" s="1">
        <v>14251</v>
      </c>
      <c r="AL141" s="1">
        <v>17985</v>
      </c>
      <c r="AM141" s="1">
        <v>21295</v>
      </c>
      <c r="AN141" s="1">
        <v>21261</v>
      </c>
      <c r="AO141" s="1">
        <v>23211</v>
      </c>
      <c r="AP141" s="1">
        <v>21723</v>
      </c>
      <c r="AQ141" s="1">
        <v>20759</v>
      </c>
      <c r="AR141" s="1">
        <v>22743</v>
      </c>
      <c r="AS141" s="1">
        <v>24110</v>
      </c>
      <c r="AT141" s="1">
        <v>24751</v>
      </c>
      <c r="AU141" s="1">
        <v>23848</v>
      </c>
      <c r="AV141" s="1">
        <v>26113</v>
      </c>
      <c r="AW141" s="1">
        <v>31653</v>
      </c>
      <c r="AX141" s="1">
        <v>30729</v>
      </c>
      <c r="AY141" s="1">
        <v>31654</v>
      </c>
      <c r="AZ141" s="1">
        <v>32835</v>
      </c>
    </row>
    <row r="142" spans="1:52" x14ac:dyDescent="0.3">
      <c r="A142" t="s">
        <v>141</v>
      </c>
      <c r="B142" s="1">
        <v>1336</v>
      </c>
      <c r="C142" s="1">
        <v>1501</v>
      </c>
      <c r="D142" s="1">
        <v>1849</v>
      </c>
      <c r="E142" s="1">
        <v>2262</v>
      </c>
      <c r="F142" s="1">
        <v>3020</v>
      </c>
      <c r="G142" s="1">
        <v>4095</v>
      </c>
      <c r="H142" s="1">
        <v>5220</v>
      </c>
      <c r="I142" s="1">
        <v>5470</v>
      </c>
      <c r="J142" s="1">
        <v>6069</v>
      </c>
      <c r="K142" s="1">
        <v>4931</v>
      </c>
      <c r="L142" s="1">
        <v>4214</v>
      </c>
      <c r="M142" s="1">
        <v>5032</v>
      </c>
      <c r="N142" s="1">
        <v>4216</v>
      </c>
      <c r="O142" s="1">
        <v>5584</v>
      </c>
      <c r="P142" s="1">
        <v>4046</v>
      </c>
      <c r="Q142" s="1">
        <v>4904</v>
      </c>
      <c r="R142" s="1">
        <v>6984</v>
      </c>
      <c r="S142" s="1">
        <v>7158</v>
      </c>
      <c r="T142" s="1">
        <v>7249</v>
      </c>
      <c r="U142" s="1">
        <v>7871</v>
      </c>
      <c r="V142" s="1">
        <v>9062</v>
      </c>
      <c r="W142" s="1">
        <v>9788</v>
      </c>
      <c r="X142" s="1">
        <v>9965</v>
      </c>
      <c r="Y142" s="1">
        <v>9260</v>
      </c>
      <c r="Z142" s="1">
        <v>8837</v>
      </c>
      <c r="AA142" s="1">
        <v>8856</v>
      </c>
      <c r="AB142" s="1">
        <v>8496</v>
      </c>
      <c r="AC142" s="1">
        <v>7196</v>
      </c>
      <c r="AD142" s="1">
        <v>7691</v>
      </c>
      <c r="AE142" s="1">
        <v>9624</v>
      </c>
      <c r="AF142" s="1">
        <v>10738</v>
      </c>
      <c r="AG142" s="1">
        <v>13430</v>
      </c>
      <c r="AH142" s="1">
        <v>17856</v>
      </c>
      <c r="AI142" s="1">
        <v>24615</v>
      </c>
      <c r="AJ142" s="1">
        <v>22355</v>
      </c>
      <c r="AK142" s="1">
        <v>27129</v>
      </c>
      <c r="AL142" s="1">
        <v>33737</v>
      </c>
      <c r="AM142" s="1">
        <v>33296</v>
      </c>
      <c r="AN142" s="1">
        <v>38651</v>
      </c>
      <c r="AO142" s="1">
        <v>40378</v>
      </c>
      <c r="AP142" s="1">
        <v>36211</v>
      </c>
      <c r="AQ142" s="1">
        <v>36090</v>
      </c>
      <c r="AR142" s="1">
        <v>38997</v>
      </c>
      <c r="AS142" s="1">
        <v>40225</v>
      </c>
      <c r="AT142" s="1">
        <v>37925</v>
      </c>
      <c r="AU142" s="1">
        <v>35432</v>
      </c>
      <c r="AV142" s="1">
        <v>39951</v>
      </c>
      <c r="AW142" s="1">
        <v>41953</v>
      </c>
      <c r="AX142" s="1">
        <v>43118</v>
      </c>
      <c r="AY142" s="1">
        <v>43989</v>
      </c>
      <c r="AZ142" s="1">
        <v>45465</v>
      </c>
    </row>
    <row r="143" spans="1:52" x14ac:dyDescent="0.3">
      <c r="A143" t="s">
        <v>142</v>
      </c>
      <c r="B143" s="1">
        <v>13346</v>
      </c>
      <c r="C143" s="1">
        <v>12729</v>
      </c>
      <c r="D143" s="1">
        <v>11475</v>
      </c>
      <c r="E143" s="1">
        <v>9851</v>
      </c>
      <c r="F143" s="1">
        <v>12583</v>
      </c>
      <c r="G143" s="1">
        <v>20190</v>
      </c>
      <c r="H143" s="1">
        <v>24398</v>
      </c>
      <c r="I143" s="1">
        <v>24259</v>
      </c>
      <c r="J143" s="1">
        <v>18863</v>
      </c>
      <c r="K143" s="1">
        <v>19442</v>
      </c>
      <c r="L143" s="1">
        <v>16823</v>
      </c>
      <c r="M143" s="1">
        <v>25241</v>
      </c>
      <c r="N143" s="1">
        <v>41681</v>
      </c>
      <c r="O143" s="1">
        <v>32978</v>
      </c>
      <c r="P143" s="1">
        <v>40699</v>
      </c>
      <c r="Q143" s="1">
        <v>28326</v>
      </c>
      <c r="R143" s="1">
        <v>33988</v>
      </c>
      <c r="S143" s="1">
        <v>35377</v>
      </c>
      <c r="T143" s="1">
        <v>34330</v>
      </c>
      <c r="U143" s="1">
        <v>43225</v>
      </c>
      <c r="V143" s="1">
        <v>51380</v>
      </c>
      <c r="W143" s="1">
        <v>53412</v>
      </c>
      <c r="X143" s="1">
        <v>56281</v>
      </c>
      <c r="Y143" s="1">
        <v>53918</v>
      </c>
      <c r="Z143" s="1">
        <v>48719</v>
      </c>
      <c r="AA143" s="1">
        <v>50414</v>
      </c>
      <c r="AB143" s="1">
        <v>51034</v>
      </c>
      <c r="AC143" s="1">
        <v>53954</v>
      </c>
      <c r="AD143" s="1">
        <v>58537</v>
      </c>
      <c r="AE143" s="1">
        <v>66126</v>
      </c>
      <c r="AF143" s="1">
        <v>74232</v>
      </c>
      <c r="AG143" s="1">
        <v>87459</v>
      </c>
      <c r="AH143" s="1">
        <v>102187</v>
      </c>
      <c r="AI143" s="1">
        <v>121308</v>
      </c>
      <c r="AJ143" s="1">
        <v>121892</v>
      </c>
      <c r="AK143" s="1">
        <v>149230</v>
      </c>
      <c r="AL143" s="1">
        <v>171369</v>
      </c>
      <c r="AM143" s="1">
        <v>193276</v>
      </c>
      <c r="AN143" s="1">
        <v>203042</v>
      </c>
      <c r="AO143" s="1">
        <v>203785</v>
      </c>
      <c r="AP143" s="1">
        <v>192850</v>
      </c>
      <c r="AQ143" s="1">
        <v>196348</v>
      </c>
      <c r="AR143" s="1">
        <v>216578</v>
      </c>
      <c r="AS143" s="1">
        <v>227583</v>
      </c>
      <c r="AT143" s="1">
        <v>233004</v>
      </c>
      <c r="AU143" s="1">
        <v>206461</v>
      </c>
      <c r="AV143" s="1">
        <v>226268</v>
      </c>
      <c r="AW143" s="1">
        <v>244419</v>
      </c>
      <c r="AX143" s="1">
        <v>267482</v>
      </c>
      <c r="AY143" s="1">
        <v>289070</v>
      </c>
      <c r="AZ143" s="1">
        <v>303293</v>
      </c>
    </row>
    <row r="144" spans="1:52" x14ac:dyDescent="0.3">
      <c r="A144" t="s">
        <v>143</v>
      </c>
      <c r="B144" s="1">
        <v>16502</v>
      </c>
      <c r="C144" s="1">
        <v>18944</v>
      </c>
      <c r="D144" s="1">
        <v>21770</v>
      </c>
      <c r="E144" s="1">
        <v>25158</v>
      </c>
      <c r="F144" s="1">
        <v>30471</v>
      </c>
      <c r="G144" s="1">
        <v>37082</v>
      </c>
      <c r="H144" s="1">
        <v>40735</v>
      </c>
      <c r="I144" s="1">
        <v>42441</v>
      </c>
      <c r="J144" s="1">
        <v>37953</v>
      </c>
      <c r="K144" s="1">
        <v>35860</v>
      </c>
      <c r="L144" s="1">
        <v>34973</v>
      </c>
      <c r="M144" s="1">
        <v>34129</v>
      </c>
      <c r="N144" s="1">
        <v>37932</v>
      </c>
      <c r="O144" s="1">
        <v>43293</v>
      </c>
      <c r="P144" s="1">
        <v>48652</v>
      </c>
      <c r="Q144" s="1">
        <v>50508</v>
      </c>
      <c r="R144" s="1">
        <v>51784</v>
      </c>
      <c r="S144" s="1">
        <v>60422</v>
      </c>
      <c r="T144" s="1">
        <v>62037</v>
      </c>
      <c r="U144" s="1">
        <v>73159</v>
      </c>
      <c r="V144" s="1">
        <v>84644</v>
      </c>
      <c r="W144" s="1">
        <v>94650</v>
      </c>
      <c r="X144" s="1">
        <v>94106</v>
      </c>
      <c r="Y144" s="1">
        <v>74492</v>
      </c>
      <c r="Z144" s="1">
        <v>85640</v>
      </c>
      <c r="AA144" s="1">
        <v>83667</v>
      </c>
      <c r="AB144" s="1">
        <v>78921</v>
      </c>
      <c r="AC144" s="1">
        <v>84307</v>
      </c>
      <c r="AD144" s="1">
        <v>87039</v>
      </c>
      <c r="AE144" s="1">
        <v>95002</v>
      </c>
      <c r="AF144" s="1">
        <v>107420</v>
      </c>
      <c r="AG144" s="1">
        <v>127653</v>
      </c>
      <c r="AH144" s="1">
        <v>155980</v>
      </c>
      <c r="AI144" s="1">
        <v>181007</v>
      </c>
      <c r="AJ144" s="1">
        <v>176132</v>
      </c>
      <c r="AK144" s="1">
        <v>208369</v>
      </c>
      <c r="AL144" s="1">
        <v>234217</v>
      </c>
      <c r="AM144" s="1">
        <v>261920</v>
      </c>
      <c r="AN144" s="1">
        <v>283903</v>
      </c>
      <c r="AO144" s="1">
        <v>297484</v>
      </c>
      <c r="AP144" s="1">
        <v>306446</v>
      </c>
      <c r="AQ144" s="1">
        <v>318627</v>
      </c>
      <c r="AR144" s="1">
        <v>328481</v>
      </c>
      <c r="AS144" s="1">
        <v>346842</v>
      </c>
      <c r="AT144" s="1">
        <v>376823</v>
      </c>
      <c r="AU144" s="1">
        <v>361751</v>
      </c>
      <c r="AV144" s="1">
        <v>394087</v>
      </c>
      <c r="AW144" s="1">
        <v>404353</v>
      </c>
      <c r="AX144" s="1">
        <v>437055</v>
      </c>
      <c r="AY144" s="1">
        <v>461617</v>
      </c>
      <c r="AZ144" s="1">
        <v>497495</v>
      </c>
    </row>
    <row r="145" spans="1:52" x14ac:dyDescent="0.3">
      <c r="A145" t="s">
        <v>144</v>
      </c>
      <c r="B145" s="1">
        <v>47893</v>
      </c>
      <c r="C145" s="1">
        <v>53394</v>
      </c>
      <c r="D145" s="1">
        <v>59219</v>
      </c>
      <c r="E145" s="1">
        <v>67066</v>
      </c>
      <c r="F145" s="1">
        <v>75076</v>
      </c>
      <c r="G145" s="1">
        <v>56908</v>
      </c>
      <c r="H145" s="1">
        <v>53921</v>
      </c>
      <c r="I145" s="1">
        <v>65520</v>
      </c>
      <c r="J145" s="1">
        <v>75792</v>
      </c>
      <c r="K145" s="1">
        <v>75893</v>
      </c>
      <c r="L145" s="1">
        <v>71137</v>
      </c>
      <c r="M145" s="1">
        <v>74053</v>
      </c>
      <c r="N145" s="1">
        <v>64040</v>
      </c>
      <c r="O145" s="1">
        <v>68963</v>
      </c>
      <c r="P145" s="1">
        <v>67237</v>
      </c>
      <c r="Q145" s="1">
        <v>62401</v>
      </c>
      <c r="R145" s="1">
        <v>80863</v>
      </c>
      <c r="S145" s="1">
        <v>89166</v>
      </c>
      <c r="T145" s="1">
        <v>90828</v>
      </c>
      <c r="U145" s="1">
        <v>104213</v>
      </c>
      <c r="V145" s="1">
        <v>139800</v>
      </c>
      <c r="W145" s="1">
        <v>157485</v>
      </c>
      <c r="X145" s="1">
        <v>157987</v>
      </c>
      <c r="Y145" s="1">
        <v>172929</v>
      </c>
      <c r="Z145" s="1">
        <v>168657</v>
      </c>
      <c r="AA145" s="1">
        <v>172151</v>
      </c>
      <c r="AB145" s="1">
        <v>191403</v>
      </c>
      <c r="AC145" s="1">
        <v>199694</v>
      </c>
      <c r="AD145" s="1">
        <v>218561</v>
      </c>
      <c r="AE145" s="1">
        <v>256454</v>
      </c>
      <c r="AF145" s="1">
        <v>307158</v>
      </c>
      <c r="AG145" s="1">
        <v>345898</v>
      </c>
      <c r="AH145" s="1">
        <v>429715</v>
      </c>
      <c r="AI145" s="1">
        <v>535612</v>
      </c>
      <c r="AJ145" s="1">
        <v>440954</v>
      </c>
      <c r="AK145" s="1">
        <v>478111</v>
      </c>
      <c r="AL145" s="1">
        <v>527848</v>
      </c>
      <c r="AM145" s="1">
        <v>498149</v>
      </c>
      <c r="AN145" s="1">
        <v>518180</v>
      </c>
      <c r="AO145" s="1">
        <v>542266</v>
      </c>
      <c r="AP145" s="1">
        <v>479729</v>
      </c>
      <c r="AQ145" s="1">
        <v>472883</v>
      </c>
      <c r="AR145" s="1">
        <v>528497</v>
      </c>
      <c r="AS145" s="1">
        <v>594641</v>
      </c>
      <c r="AT145" s="1">
        <v>602592</v>
      </c>
      <c r="AU145" s="1">
        <v>605930</v>
      </c>
      <c r="AV145" s="1">
        <v>689253</v>
      </c>
      <c r="AW145" s="1">
        <v>695734</v>
      </c>
      <c r="AX145" s="1">
        <v>809706</v>
      </c>
      <c r="AY145" s="1">
        <v>908583</v>
      </c>
      <c r="AZ145" s="1">
        <v>979960</v>
      </c>
    </row>
    <row r="146" spans="1:52" x14ac:dyDescent="0.3">
      <c r="A146" t="s">
        <v>145</v>
      </c>
      <c r="B146" s="1">
        <v>19096</v>
      </c>
      <c r="C146" s="1">
        <v>20064</v>
      </c>
      <c r="D146" s="1">
        <v>21151</v>
      </c>
      <c r="E146" s="1">
        <v>23179</v>
      </c>
      <c r="F146" s="1">
        <v>26265</v>
      </c>
      <c r="G146" s="1">
        <v>32607</v>
      </c>
      <c r="H146" s="1">
        <v>32477</v>
      </c>
      <c r="I146" s="1">
        <v>30678</v>
      </c>
      <c r="J146" s="1">
        <v>28267</v>
      </c>
      <c r="K146" s="1">
        <v>25951</v>
      </c>
      <c r="L146" s="1">
        <v>27231</v>
      </c>
      <c r="M146" s="1">
        <v>37869</v>
      </c>
      <c r="N146" s="1">
        <v>47386</v>
      </c>
      <c r="O146" s="1">
        <v>55435</v>
      </c>
      <c r="P146" s="1">
        <v>59806</v>
      </c>
      <c r="Q146" s="1">
        <v>79439</v>
      </c>
      <c r="R146" s="1">
        <v>89904</v>
      </c>
      <c r="S146" s="1">
        <v>108119</v>
      </c>
      <c r="T146" s="1">
        <v>95139</v>
      </c>
      <c r="U146" s="1">
        <v>99692</v>
      </c>
      <c r="V146" s="1">
        <v>118182</v>
      </c>
      <c r="W146" s="1">
        <v>122655</v>
      </c>
      <c r="X146" s="1">
        <v>117211</v>
      </c>
      <c r="Y146" s="1">
        <v>124124</v>
      </c>
      <c r="Z146" s="1">
        <v>127597</v>
      </c>
      <c r="AA146" s="1">
        <v>118658</v>
      </c>
      <c r="AB146" s="1">
        <v>121605</v>
      </c>
      <c r="AC146" s="1">
        <v>134700</v>
      </c>
      <c r="AD146" s="1">
        <v>165185</v>
      </c>
      <c r="AE146" s="1">
        <v>189296</v>
      </c>
      <c r="AF146" s="1">
        <v>197363</v>
      </c>
      <c r="AG146" s="1">
        <v>208767</v>
      </c>
      <c r="AH146" s="1">
        <v>240524</v>
      </c>
      <c r="AI146" s="1">
        <v>263388</v>
      </c>
      <c r="AJ146" s="1">
        <v>244402</v>
      </c>
      <c r="AK146" s="1">
        <v>238639</v>
      </c>
      <c r="AL146" s="1">
        <v>245383</v>
      </c>
      <c r="AM146" s="1">
        <v>216674</v>
      </c>
      <c r="AN146" s="1">
        <v>226681</v>
      </c>
      <c r="AO146" s="1">
        <v>230138</v>
      </c>
      <c r="AP146" s="1">
        <v>199059</v>
      </c>
      <c r="AQ146" s="1">
        <v>206249</v>
      </c>
      <c r="AR146" s="1">
        <v>220785</v>
      </c>
      <c r="AS146" s="1">
        <v>242203</v>
      </c>
      <c r="AT146" s="1">
        <v>240142</v>
      </c>
      <c r="AU146" s="1">
        <v>229435</v>
      </c>
      <c r="AV146" s="1">
        <v>256226</v>
      </c>
      <c r="AW146" s="1">
        <v>257101</v>
      </c>
      <c r="AX146" s="1">
        <v>289781</v>
      </c>
      <c r="AY146" s="1">
        <v>308590</v>
      </c>
      <c r="AZ146" s="1">
        <v>321440</v>
      </c>
    </row>
    <row r="147" spans="1:52" x14ac:dyDescent="0.3">
      <c r="A147" t="s">
        <v>146</v>
      </c>
      <c r="B147" s="1">
        <v>8969</v>
      </c>
      <c r="C147" s="1">
        <v>9911</v>
      </c>
      <c r="D147" s="1">
        <v>11165</v>
      </c>
      <c r="E147" s="1">
        <v>12750</v>
      </c>
      <c r="F147" s="1">
        <v>14436</v>
      </c>
      <c r="G147" s="1">
        <v>14436</v>
      </c>
      <c r="H147" s="1">
        <v>15956</v>
      </c>
      <c r="I147" s="1">
        <v>16764</v>
      </c>
      <c r="J147" s="1">
        <v>17277</v>
      </c>
      <c r="K147" s="1">
        <v>19163</v>
      </c>
      <c r="L147" s="1">
        <v>20289</v>
      </c>
      <c r="M147" s="1">
        <v>21969</v>
      </c>
      <c r="N147" s="1">
        <v>23878</v>
      </c>
      <c r="O147" s="1">
        <v>26178</v>
      </c>
      <c r="P147" s="1">
        <v>28267</v>
      </c>
      <c r="Q147" s="1">
        <v>30604</v>
      </c>
      <c r="R147" s="1">
        <v>32287</v>
      </c>
      <c r="S147" s="1">
        <v>34630</v>
      </c>
      <c r="T147" s="1">
        <v>36923</v>
      </c>
      <c r="U147" s="1">
        <v>39691</v>
      </c>
      <c r="V147" s="1">
        <v>42647</v>
      </c>
      <c r="W147" s="1">
        <v>45341</v>
      </c>
      <c r="X147" s="1">
        <v>48187</v>
      </c>
      <c r="Y147" s="1">
        <v>54086</v>
      </c>
      <c r="Z147" s="1">
        <v>57841</v>
      </c>
      <c r="AA147" s="1">
        <v>61702</v>
      </c>
      <c r="AB147" s="1">
        <v>69669</v>
      </c>
      <c r="AC147" s="1">
        <v>72546</v>
      </c>
      <c r="AD147" s="1">
        <v>75834</v>
      </c>
      <c r="AE147" s="1">
        <v>80322</v>
      </c>
      <c r="AF147" s="1">
        <v>83915</v>
      </c>
      <c r="AG147" s="1">
        <v>87276</v>
      </c>
      <c r="AH147" s="1">
        <v>89524</v>
      </c>
      <c r="AI147" s="1">
        <v>93639</v>
      </c>
      <c r="AJ147" s="1">
        <v>96386</v>
      </c>
      <c r="AK147" s="1">
        <v>98381</v>
      </c>
      <c r="AL147" s="1">
        <v>100352</v>
      </c>
      <c r="AM147" s="1">
        <v>101565</v>
      </c>
      <c r="AN147" s="1">
        <v>102450</v>
      </c>
      <c r="AO147" s="1">
        <v>102446</v>
      </c>
      <c r="AP147" s="1">
        <v>103376</v>
      </c>
      <c r="AQ147" s="1">
        <v>104337</v>
      </c>
      <c r="AR147" s="1">
        <v>103446</v>
      </c>
      <c r="AS147" s="1">
        <v>100958</v>
      </c>
      <c r="AT147" s="1">
        <v>105126</v>
      </c>
      <c r="AU147" s="1">
        <v>103131</v>
      </c>
      <c r="AV147" s="1">
        <v>106427</v>
      </c>
      <c r="AW147" s="1">
        <v>113567</v>
      </c>
      <c r="AX147" s="1">
        <v>117902</v>
      </c>
      <c r="AY147" s="1">
        <v>120978</v>
      </c>
      <c r="AZ147" s="1">
        <v>122522</v>
      </c>
    </row>
    <row r="148" spans="1:52" x14ac:dyDescent="0.3">
      <c r="A148" t="s">
        <v>147</v>
      </c>
      <c r="B148" s="1">
        <v>2470</v>
      </c>
      <c r="C148" s="1">
        <v>3206</v>
      </c>
      <c r="D148" s="1">
        <v>3509</v>
      </c>
      <c r="E148" s="1">
        <v>3932</v>
      </c>
      <c r="F148" s="1">
        <v>5633</v>
      </c>
      <c r="G148" s="1">
        <v>6665</v>
      </c>
      <c r="H148" s="1">
        <v>7374</v>
      </c>
      <c r="I148" s="1">
        <v>6467</v>
      </c>
      <c r="J148" s="1">
        <v>5506</v>
      </c>
      <c r="K148" s="1">
        <v>5708</v>
      </c>
      <c r="L148" s="1">
        <v>5339</v>
      </c>
      <c r="M148" s="1">
        <v>4214</v>
      </c>
      <c r="N148" s="1">
        <v>4441</v>
      </c>
      <c r="O148" s="1">
        <v>4260</v>
      </c>
      <c r="P148" s="1">
        <v>4502</v>
      </c>
      <c r="Q148" s="1">
        <v>6266</v>
      </c>
      <c r="R148" s="1">
        <v>5579</v>
      </c>
      <c r="S148" s="1">
        <v>6384</v>
      </c>
      <c r="T148" s="1">
        <v>5804</v>
      </c>
      <c r="U148" s="1">
        <v>5946</v>
      </c>
      <c r="V148" s="1">
        <v>6861</v>
      </c>
      <c r="W148" s="1">
        <v>7761</v>
      </c>
      <c r="X148" s="1">
        <v>9976</v>
      </c>
      <c r="Y148" s="1">
        <v>8488</v>
      </c>
      <c r="Z148" s="1">
        <v>11266</v>
      </c>
      <c r="AA148" s="1">
        <v>18085</v>
      </c>
      <c r="AB148" s="1">
        <v>17498</v>
      </c>
      <c r="AC148" s="1">
        <v>19334</v>
      </c>
      <c r="AD148" s="1">
        <v>23716</v>
      </c>
      <c r="AE148" s="1">
        <v>30651</v>
      </c>
      <c r="AF148" s="1">
        <v>44636</v>
      </c>
      <c r="AG148" s="1">
        <v>58629</v>
      </c>
      <c r="AH148" s="1">
        <v>75987</v>
      </c>
      <c r="AI148" s="1">
        <v>112621</v>
      </c>
      <c r="AJ148" s="1">
        <v>88196</v>
      </c>
      <c r="AK148" s="1">
        <v>119707</v>
      </c>
      <c r="AL148" s="1">
        <v>167775</v>
      </c>
      <c r="AM148" s="1">
        <v>186834</v>
      </c>
      <c r="AN148" s="1">
        <v>198728</v>
      </c>
      <c r="AO148" s="1">
        <v>206225</v>
      </c>
      <c r="AP148" s="1">
        <v>161740</v>
      </c>
      <c r="AQ148" s="1">
        <v>151732</v>
      </c>
      <c r="AR148" s="1">
        <v>161099</v>
      </c>
      <c r="AS148" s="1">
        <v>183335</v>
      </c>
      <c r="AT148" s="1">
        <v>176371</v>
      </c>
      <c r="AU148" s="1">
        <v>144411</v>
      </c>
      <c r="AV148" s="1">
        <v>179732</v>
      </c>
      <c r="AW148" s="1">
        <v>235709</v>
      </c>
      <c r="AX148" s="1">
        <v>213003</v>
      </c>
      <c r="AY148" s="1">
        <v>221452</v>
      </c>
      <c r="AZ148" s="1">
        <v>222776</v>
      </c>
    </row>
    <row r="149" spans="1:52" x14ac:dyDescent="0.3">
      <c r="A149" t="s">
        <v>148</v>
      </c>
      <c r="B149" s="1">
        <v>683</v>
      </c>
      <c r="C149" s="1">
        <v>709</v>
      </c>
      <c r="D149" s="1">
        <v>707</v>
      </c>
      <c r="E149" s="1">
        <v>879</v>
      </c>
      <c r="F149" s="1">
        <v>1194</v>
      </c>
      <c r="G149" s="1">
        <v>2165</v>
      </c>
      <c r="H149" s="1">
        <v>1775</v>
      </c>
      <c r="I149" s="1">
        <v>1548</v>
      </c>
      <c r="J149" s="1">
        <v>1407</v>
      </c>
      <c r="K149" s="1">
        <v>1294</v>
      </c>
      <c r="L149" s="1">
        <v>1327</v>
      </c>
      <c r="M149" s="1">
        <v>1815</v>
      </c>
      <c r="N149" s="1">
        <v>2205</v>
      </c>
      <c r="O149" s="1">
        <v>2346</v>
      </c>
      <c r="P149" s="1">
        <v>2478</v>
      </c>
      <c r="Q149" s="1">
        <v>2909</v>
      </c>
      <c r="R149" s="1">
        <v>3035</v>
      </c>
      <c r="S149" s="1">
        <v>3280</v>
      </c>
      <c r="T149" s="1">
        <v>3004</v>
      </c>
      <c r="U149" s="1">
        <v>2068</v>
      </c>
      <c r="V149" s="1">
        <v>2457</v>
      </c>
      <c r="W149" s="1">
        <v>2840</v>
      </c>
      <c r="X149" s="1">
        <v>2568</v>
      </c>
      <c r="Y149" s="1">
        <v>2240</v>
      </c>
      <c r="Z149" s="1">
        <v>2646</v>
      </c>
      <c r="AA149" s="1">
        <v>3624</v>
      </c>
      <c r="AB149" s="1">
        <v>3038</v>
      </c>
      <c r="AC149" s="1">
        <v>3330</v>
      </c>
      <c r="AD149" s="1">
        <v>3863</v>
      </c>
      <c r="AE149" s="1">
        <v>5101</v>
      </c>
      <c r="AF149" s="1">
        <v>6654</v>
      </c>
      <c r="AG149" s="1">
        <v>8073</v>
      </c>
      <c r="AH149" s="1">
        <v>8784</v>
      </c>
      <c r="AI149" s="1">
        <v>11649</v>
      </c>
      <c r="AJ149" s="1">
        <v>9713</v>
      </c>
      <c r="AK149" s="1">
        <v>13159</v>
      </c>
      <c r="AL149" s="1">
        <v>15653</v>
      </c>
      <c r="AM149" s="1">
        <v>17704</v>
      </c>
      <c r="AN149" s="1">
        <v>17959</v>
      </c>
      <c r="AO149" s="1">
        <v>17918</v>
      </c>
      <c r="AP149" s="1">
        <v>11891</v>
      </c>
      <c r="AQ149" s="1">
        <v>10928</v>
      </c>
      <c r="AR149" s="1">
        <v>11830</v>
      </c>
      <c r="AS149" s="1">
        <v>14781</v>
      </c>
      <c r="AT149" s="1">
        <v>13977</v>
      </c>
      <c r="AU149" s="1">
        <v>11485</v>
      </c>
      <c r="AV149" s="1">
        <v>13387</v>
      </c>
      <c r="AW149" s="1">
        <v>13967</v>
      </c>
      <c r="AX149" s="1">
        <v>14169</v>
      </c>
      <c r="AY149" s="1">
        <v>14893</v>
      </c>
      <c r="AZ149" s="1">
        <v>15281</v>
      </c>
    </row>
    <row r="150" spans="1:52" x14ac:dyDescent="0.3">
      <c r="A150" t="s">
        <v>149</v>
      </c>
      <c r="B150" s="1">
        <v>22874</v>
      </c>
      <c r="C150" s="1">
        <v>25709</v>
      </c>
      <c r="D150" s="1">
        <v>27790</v>
      </c>
      <c r="E150" s="1">
        <v>32761</v>
      </c>
      <c r="F150" s="1">
        <v>35353</v>
      </c>
      <c r="G150" s="1">
        <v>46053</v>
      </c>
      <c r="H150" s="1">
        <v>55319</v>
      </c>
      <c r="I150" s="1">
        <v>55375</v>
      </c>
      <c r="J150" s="1">
        <v>48401</v>
      </c>
      <c r="K150" s="1">
        <v>39111</v>
      </c>
      <c r="L150" s="1">
        <v>48286</v>
      </c>
      <c r="M150" s="1">
        <v>52290</v>
      </c>
      <c r="N150" s="1">
        <v>58477</v>
      </c>
      <c r="O150" s="1">
        <v>60538</v>
      </c>
      <c r="P150" s="1">
        <v>54236</v>
      </c>
      <c r="Q150" s="1">
        <v>38516</v>
      </c>
      <c r="R150" s="1">
        <v>29070</v>
      </c>
      <c r="S150" s="1">
        <v>19779</v>
      </c>
      <c r="T150" s="1">
        <v>26624</v>
      </c>
      <c r="U150" s="1">
        <v>30376</v>
      </c>
      <c r="V150" s="1">
        <v>35838</v>
      </c>
      <c r="W150" s="1">
        <v>35692</v>
      </c>
      <c r="X150" s="1">
        <v>35644</v>
      </c>
      <c r="Y150" s="1">
        <v>42543</v>
      </c>
      <c r="Z150" s="1">
        <v>35953</v>
      </c>
      <c r="AA150" s="1">
        <v>37447</v>
      </c>
      <c r="AB150" s="1">
        <v>40396</v>
      </c>
      <c r="AC150" s="1">
        <v>46035</v>
      </c>
      <c r="AD150" s="1">
        <v>57790</v>
      </c>
      <c r="AE150" s="1">
        <v>75059</v>
      </c>
      <c r="AF150" s="1">
        <v>98547</v>
      </c>
      <c r="AG150" s="1">
        <v>122114</v>
      </c>
      <c r="AH150" s="1">
        <v>174831</v>
      </c>
      <c r="AI150" s="1">
        <v>215567</v>
      </c>
      <c r="AJ150" s="1">
        <v>174572</v>
      </c>
      <c r="AK150" s="1">
        <v>170329</v>
      </c>
      <c r="AL150" s="1">
        <v>192846</v>
      </c>
      <c r="AM150" s="1">
        <v>179228</v>
      </c>
      <c r="AN150" s="1">
        <v>189839</v>
      </c>
      <c r="AO150" s="1">
        <v>199989</v>
      </c>
      <c r="AP150" s="1">
        <v>177878</v>
      </c>
      <c r="AQ150" s="1">
        <v>185337</v>
      </c>
      <c r="AR150" s="1">
        <v>210530</v>
      </c>
      <c r="AS150" s="1">
        <v>243651</v>
      </c>
      <c r="AT150" s="1">
        <v>251652</v>
      </c>
      <c r="AU150" s="1">
        <v>252372</v>
      </c>
      <c r="AV150" s="1">
        <v>286783</v>
      </c>
      <c r="AW150" s="1">
        <v>296928</v>
      </c>
      <c r="AX150" s="1">
        <v>350847</v>
      </c>
      <c r="AY150" s="1">
        <v>384148</v>
      </c>
      <c r="AZ150" s="1">
        <v>403395</v>
      </c>
    </row>
    <row r="151" spans="1:52" x14ac:dyDescent="0.3">
      <c r="A151" t="s">
        <v>150</v>
      </c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>
        <v>71603</v>
      </c>
      <c r="T151" s="1">
        <v>196227</v>
      </c>
      <c r="U151" s="1">
        <v>293768</v>
      </c>
      <c r="V151" s="1">
        <v>335777</v>
      </c>
      <c r="W151" s="1">
        <v>412685</v>
      </c>
      <c r="X151" s="1">
        <v>433704</v>
      </c>
      <c r="Y151" s="1">
        <v>287672</v>
      </c>
      <c r="Z151" s="1">
        <v>209657</v>
      </c>
      <c r="AA151" s="1">
        <v>278264</v>
      </c>
      <c r="AB151" s="1">
        <v>328475</v>
      </c>
      <c r="AC151" s="1">
        <v>370062</v>
      </c>
      <c r="AD151" s="1">
        <v>461518</v>
      </c>
      <c r="AE151" s="1">
        <v>633294</v>
      </c>
      <c r="AF151" s="1">
        <v>817717</v>
      </c>
      <c r="AG151" s="1">
        <v>1060901</v>
      </c>
      <c r="AH151" s="1">
        <v>1393416</v>
      </c>
      <c r="AI151" s="1">
        <v>1779109</v>
      </c>
      <c r="AJ151" s="1">
        <v>1307927</v>
      </c>
      <c r="AK151" s="1">
        <v>1633111</v>
      </c>
      <c r="AL151" s="1">
        <v>2046621</v>
      </c>
      <c r="AM151" s="1">
        <v>2191486</v>
      </c>
      <c r="AN151" s="1">
        <v>2288428</v>
      </c>
      <c r="AO151" s="1">
        <v>2048837</v>
      </c>
      <c r="AP151" s="1">
        <v>1356703</v>
      </c>
      <c r="AQ151" s="1">
        <v>1280648</v>
      </c>
      <c r="AR151" s="1">
        <v>1575140</v>
      </c>
      <c r="AS151" s="1">
        <v>1653005</v>
      </c>
      <c r="AT151" s="1">
        <v>1695724</v>
      </c>
      <c r="AU151" s="1">
        <v>1488118</v>
      </c>
      <c r="AV151" s="1">
        <v>1828927</v>
      </c>
      <c r="AW151" s="1">
        <v>2295527</v>
      </c>
      <c r="AX151" s="1">
        <v>2059762</v>
      </c>
      <c r="AY151" s="1">
        <v>2161205</v>
      </c>
      <c r="AZ151" s="1">
        <v>2076396</v>
      </c>
    </row>
    <row r="152" spans="1:52" x14ac:dyDescent="0.3">
      <c r="A152" t="s">
        <v>151</v>
      </c>
      <c r="B152" s="1">
        <v>639</v>
      </c>
      <c r="C152" s="1">
        <v>712</v>
      </c>
      <c r="D152" s="1">
        <v>834</v>
      </c>
      <c r="E152" s="1">
        <v>1012</v>
      </c>
      <c r="F152" s="1">
        <v>1239</v>
      </c>
      <c r="G152" s="1">
        <v>1493</v>
      </c>
      <c r="H152" s="1">
        <v>1695</v>
      </c>
      <c r="I152" s="1">
        <v>1808</v>
      </c>
      <c r="J152" s="1">
        <v>1932</v>
      </c>
      <c r="K152" s="1">
        <v>1851</v>
      </c>
      <c r="L152" s="1">
        <v>2199</v>
      </c>
      <c r="M152" s="1">
        <v>2490</v>
      </c>
      <c r="N152" s="1">
        <v>2765</v>
      </c>
      <c r="O152" s="1">
        <v>2959</v>
      </c>
      <c r="P152" s="1">
        <v>3090</v>
      </c>
      <c r="Q152" s="1">
        <v>2954</v>
      </c>
      <c r="R152" s="1">
        <v>2179</v>
      </c>
      <c r="S152" s="1">
        <v>2313</v>
      </c>
      <c r="T152" s="1">
        <v>2231</v>
      </c>
      <c r="U152" s="1">
        <v>1418</v>
      </c>
      <c r="V152" s="1">
        <v>1470</v>
      </c>
      <c r="W152" s="1">
        <v>1593</v>
      </c>
      <c r="X152" s="1">
        <v>2144</v>
      </c>
      <c r="Y152" s="1">
        <v>2290</v>
      </c>
      <c r="Z152" s="1">
        <v>2131</v>
      </c>
      <c r="AA152" s="1">
        <v>2049</v>
      </c>
      <c r="AB152" s="1">
        <v>1967</v>
      </c>
      <c r="AC152" s="1">
        <v>1963</v>
      </c>
      <c r="AD152" s="1">
        <v>2139</v>
      </c>
      <c r="AE152" s="1">
        <v>2388</v>
      </c>
      <c r="AF152" s="1">
        <v>2945</v>
      </c>
      <c r="AG152" s="1">
        <v>3318</v>
      </c>
      <c r="AH152" s="1">
        <v>4069</v>
      </c>
      <c r="AI152" s="1">
        <v>5183</v>
      </c>
      <c r="AJ152" s="1">
        <v>5675</v>
      </c>
      <c r="AK152" s="1">
        <v>6124</v>
      </c>
      <c r="AL152" s="1">
        <v>6885</v>
      </c>
      <c r="AM152" s="1">
        <v>7654</v>
      </c>
      <c r="AN152" s="1">
        <v>7821</v>
      </c>
      <c r="AO152" s="1">
        <v>8240</v>
      </c>
      <c r="AP152" s="1">
        <v>8546</v>
      </c>
      <c r="AQ152" s="1">
        <v>8695</v>
      </c>
      <c r="AR152" s="1">
        <v>9253</v>
      </c>
      <c r="AS152" s="1">
        <v>9638</v>
      </c>
      <c r="AT152" s="1">
        <v>10349</v>
      </c>
      <c r="AU152" s="1">
        <v>10174</v>
      </c>
      <c r="AV152" s="1">
        <v>11066</v>
      </c>
      <c r="AW152" s="1">
        <v>13313</v>
      </c>
      <c r="AX152" s="1">
        <v>14331</v>
      </c>
      <c r="AY152" s="1">
        <v>14251</v>
      </c>
      <c r="AZ152" s="1">
        <v>14771</v>
      </c>
    </row>
    <row r="153" spans="1:52" x14ac:dyDescent="0.3">
      <c r="A153" t="s">
        <v>152</v>
      </c>
      <c r="B153" s="1">
        <v>43</v>
      </c>
      <c r="C153" s="1">
        <v>37</v>
      </c>
      <c r="D153" s="1">
        <v>38</v>
      </c>
      <c r="E153" s="1">
        <v>43</v>
      </c>
      <c r="F153" s="1">
        <v>50</v>
      </c>
      <c r="G153" s="1">
        <v>58</v>
      </c>
      <c r="H153" s="1">
        <v>69</v>
      </c>
      <c r="I153" s="1">
        <v>79</v>
      </c>
      <c r="J153" s="1">
        <v>78</v>
      </c>
      <c r="K153" s="1">
        <v>91</v>
      </c>
      <c r="L153" s="1">
        <v>101</v>
      </c>
      <c r="M153" s="1">
        <v>119</v>
      </c>
      <c r="N153" s="1">
        <v>136</v>
      </c>
      <c r="O153" s="1">
        <v>161</v>
      </c>
      <c r="P153" s="1">
        <v>179</v>
      </c>
      <c r="Q153" s="1">
        <v>203</v>
      </c>
      <c r="R153" s="1">
        <v>201</v>
      </c>
      <c r="S153" s="1">
        <v>223</v>
      </c>
      <c r="T153" s="1">
        <v>243</v>
      </c>
      <c r="U153" s="1">
        <v>272</v>
      </c>
      <c r="V153" s="1">
        <v>293</v>
      </c>
      <c r="W153" s="1">
        <v>312</v>
      </c>
      <c r="X153" s="1">
        <v>351</v>
      </c>
      <c r="Y153" s="1">
        <v>366</v>
      </c>
      <c r="Z153" s="1">
        <v>389</v>
      </c>
      <c r="AA153" s="1">
        <v>421</v>
      </c>
      <c r="AB153" s="1">
        <v>458</v>
      </c>
      <c r="AC153" s="1">
        <v>481</v>
      </c>
      <c r="AD153" s="1">
        <v>469</v>
      </c>
      <c r="AE153" s="1">
        <v>507</v>
      </c>
      <c r="AF153" s="1">
        <v>547</v>
      </c>
      <c r="AG153" s="1">
        <v>644</v>
      </c>
      <c r="AH153" s="1">
        <v>689</v>
      </c>
      <c r="AI153" s="1">
        <v>778</v>
      </c>
      <c r="AJ153" s="1">
        <v>774</v>
      </c>
      <c r="AK153" s="1">
        <v>779</v>
      </c>
      <c r="AL153" s="1">
        <v>836</v>
      </c>
      <c r="AM153" s="1">
        <v>825</v>
      </c>
      <c r="AN153" s="1">
        <v>875</v>
      </c>
      <c r="AO153" s="1">
        <v>953</v>
      </c>
      <c r="AP153" s="1">
        <v>957</v>
      </c>
      <c r="AQ153" s="1">
        <v>1007</v>
      </c>
      <c r="AR153" s="1">
        <v>1058</v>
      </c>
      <c r="AS153" s="1">
        <v>1076</v>
      </c>
      <c r="AT153" s="1">
        <v>1107</v>
      </c>
      <c r="AU153" s="1">
        <v>884</v>
      </c>
      <c r="AV153" s="1">
        <v>859</v>
      </c>
      <c r="AW153" s="1">
        <v>981</v>
      </c>
      <c r="AX153" s="1">
        <v>1056</v>
      </c>
      <c r="AY153" s="1">
        <v>1117</v>
      </c>
      <c r="AZ153" s="1">
        <v>1129</v>
      </c>
    </row>
    <row r="154" spans="1:52" x14ac:dyDescent="0.3">
      <c r="A154" t="s">
        <v>153</v>
      </c>
      <c r="B154" s="1">
        <v>71</v>
      </c>
      <c r="C154" s="1">
        <v>73</v>
      </c>
      <c r="D154" s="1">
        <v>81</v>
      </c>
      <c r="E154" s="1">
        <v>95</v>
      </c>
      <c r="F154" s="1">
        <v>115</v>
      </c>
      <c r="G154" s="1">
        <v>170</v>
      </c>
      <c r="H154" s="1">
        <v>194</v>
      </c>
      <c r="I154" s="1">
        <v>183</v>
      </c>
      <c r="J154" s="1">
        <v>197</v>
      </c>
      <c r="K154" s="1">
        <v>251</v>
      </c>
      <c r="L154" s="1">
        <v>284</v>
      </c>
      <c r="M154" s="1">
        <v>340</v>
      </c>
      <c r="N154" s="1">
        <v>375</v>
      </c>
      <c r="O154" s="1">
        <v>429</v>
      </c>
      <c r="P154" s="1">
        <v>486</v>
      </c>
      <c r="Q154" s="1">
        <v>579</v>
      </c>
      <c r="R154" s="1">
        <v>613</v>
      </c>
      <c r="S154" s="1">
        <v>674</v>
      </c>
      <c r="T154" s="1">
        <v>684</v>
      </c>
      <c r="U154" s="1">
        <v>713</v>
      </c>
      <c r="V154" s="1">
        <v>762</v>
      </c>
      <c r="W154" s="1">
        <v>788</v>
      </c>
      <c r="X154" s="1">
        <v>805</v>
      </c>
      <c r="Y154" s="1">
        <v>877</v>
      </c>
      <c r="Z154" s="1">
        <v>921</v>
      </c>
      <c r="AA154" s="1">
        <v>932</v>
      </c>
      <c r="AB154" s="1">
        <v>892</v>
      </c>
      <c r="AC154" s="1">
        <v>899</v>
      </c>
      <c r="AD154" s="1">
        <v>987</v>
      </c>
      <c r="AE154" s="1">
        <v>1066</v>
      </c>
      <c r="AF154" s="1">
        <v>1135</v>
      </c>
      <c r="AG154" s="1">
        <v>1268</v>
      </c>
      <c r="AH154" s="1">
        <v>1331</v>
      </c>
      <c r="AI154" s="1">
        <v>1427</v>
      </c>
      <c r="AJ154" s="1">
        <v>1400</v>
      </c>
      <c r="AK154" s="1">
        <v>1483</v>
      </c>
      <c r="AL154" s="1">
        <v>1569</v>
      </c>
      <c r="AM154" s="1">
        <v>1598</v>
      </c>
      <c r="AN154" s="1">
        <v>1660</v>
      </c>
      <c r="AO154" s="1">
        <v>1749</v>
      </c>
      <c r="AP154" s="1">
        <v>1808</v>
      </c>
      <c r="AQ154" s="1">
        <v>1869</v>
      </c>
      <c r="AR154" s="1">
        <v>1999</v>
      </c>
      <c r="AS154" s="1">
        <v>2061</v>
      </c>
      <c r="AT154" s="1">
        <v>2095</v>
      </c>
      <c r="AU154" s="1">
        <v>1499</v>
      </c>
      <c r="AV154" s="1">
        <v>1867</v>
      </c>
      <c r="AW154" s="1">
        <v>2343</v>
      </c>
      <c r="AX154" s="1">
        <v>2430</v>
      </c>
      <c r="AY154" s="1">
        <v>2523</v>
      </c>
      <c r="AZ154" s="1">
        <v>2632</v>
      </c>
    </row>
    <row r="155" spans="1:52" x14ac:dyDescent="0.3">
      <c r="A155" t="s">
        <v>154</v>
      </c>
      <c r="B155" s="1">
        <v>38</v>
      </c>
      <c r="C155" s="1">
        <v>37</v>
      </c>
      <c r="D155" s="1">
        <v>43</v>
      </c>
      <c r="E155" s="1">
        <v>54</v>
      </c>
      <c r="F155" s="1">
        <v>63</v>
      </c>
      <c r="G155" s="1">
        <v>89</v>
      </c>
      <c r="H155" s="1">
        <v>110</v>
      </c>
      <c r="I155" s="1">
        <v>123</v>
      </c>
      <c r="J155" s="1">
        <v>132</v>
      </c>
      <c r="K155" s="1">
        <v>146</v>
      </c>
      <c r="L155" s="1">
        <v>157</v>
      </c>
      <c r="M155" s="1">
        <v>173</v>
      </c>
      <c r="N155" s="1">
        <v>189</v>
      </c>
      <c r="O155" s="1">
        <v>216</v>
      </c>
      <c r="P155" s="1">
        <v>232</v>
      </c>
      <c r="Q155" s="1">
        <v>259</v>
      </c>
      <c r="R155" s="1">
        <v>275</v>
      </c>
      <c r="S155" s="1">
        <v>300</v>
      </c>
      <c r="T155" s="1">
        <v>309</v>
      </c>
      <c r="U155" s="1">
        <v>312</v>
      </c>
      <c r="V155" s="1">
        <v>341</v>
      </c>
      <c r="W155" s="1">
        <v>358</v>
      </c>
      <c r="X155" s="1">
        <v>375</v>
      </c>
      <c r="Y155" s="1">
        <v>403</v>
      </c>
      <c r="Z155" s="1">
        <v>421</v>
      </c>
      <c r="AA155" s="1">
        <v>427</v>
      </c>
      <c r="AB155" s="1">
        <v>461</v>
      </c>
      <c r="AC155" s="1">
        <v>488</v>
      </c>
      <c r="AD155" s="1">
        <v>508</v>
      </c>
      <c r="AE155" s="1">
        <v>549</v>
      </c>
      <c r="AF155" s="1">
        <v>580</v>
      </c>
      <c r="AG155" s="1">
        <v>643</v>
      </c>
      <c r="AH155" s="1">
        <v>713</v>
      </c>
      <c r="AI155" s="1">
        <v>731</v>
      </c>
      <c r="AJ155" s="1">
        <v>714</v>
      </c>
      <c r="AK155" s="1">
        <v>720</v>
      </c>
      <c r="AL155" s="1">
        <v>713</v>
      </c>
      <c r="AM155" s="1">
        <v>727</v>
      </c>
      <c r="AN155" s="1">
        <v>766</v>
      </c>
      <c r="AO155" s="1">
        <v>771</v>
      </c>
      <c r="AP155" s="1">
        <v>786</v>
      </c>
      <c r="AQ155" s="1">
        <v>814</v>
      </c>
      <c r="AR155" s="1">
        <v>844</v>
      </c>
      <c r="AS155" s="1">
        <v>884</v>
      </c>
      <c r="AT155" s="1">
        <v>910</v>
      </c>
      <c r="AU155" s="1">
        <v>864</v>
      </c>
      <c r="AV155" s="1">
        <v>888</v>
      </c>
      <c r="AW155" s="1">
        <v>970</v>
      </c>
      <c r="AX155" s="1">
        <v>1071</v>
      </c>
      <c r="AY155" s="1">
        <v>1162</v>
      </c>
      <c r="AZ155" s="1">
        <v>1242</v>
      </c>
    </row>
    <row r="156" spans="1:52" x14ac:dyDescent="0.3">
      <c r="A156" t="s">
        <v>155</v>
      </c>
      <c r="B156" s="1">
        <v>83</v>
      </c>
      <c r="C156" s="1">
        <v>76</v>
      </c>
      <c r="D156" s="1">
        <v>87</v>
      </c>
      <c r="E156" s="1">
        <v>96</v>
      </c>
      <c r="F156" s="1">
        <v>109</v>
      </c>
      <c r="G156" s="1">
        <v>127</v>
      </c>
      <c r="H156" s="1">
        <v>119</v>
      </c>
      <c r="I156" s="1">
        <v>122</v>
      </c>
      <c r="J156" s="1">
        <v>113</v>
      </c>
      <c r="K156" s="1">
        <v>111</v>
      </c>
      <c r="L156" s="1">
        <v>106</v>
      </c>
      <c r="M156" s="1">
        <v>112</v>
      </c>
      <c r="N156" s="1">
        <v>124</v>
      </c>
      <c r="O156" s="1">
        <v>138</v>
      </c>
      <c r="P156" s="1">
        <v>141</v>
      </c>
      <c r="Q156" s="1">
        <v>182</v>
      </c>
      <c r="R156" s="1">
        <v>176</v>
      </c>
      <c r="S156" s="1">
        <v>193</v>
      </c>
      <c r="T156" s="1">
        <v>198</v>
      </c>
      <c r="U156" s="1">
        <v>158</v>
      </c>
      <c r="V156" s="1">
        <v>242</v>
      </c>
      <c r="W156" s="1">
        <v>258</v>
      </c>
      <c r="X156" s="1">
        <v>280</v>
      </c>
      <c r="Y156" s="1">
        <v>286</v>
      </c>
      <c r="Z156" s="1">
        <v>262</v>
      </c>
      <c r="AA156" s="1">
        <v>271</v>
      </c>
      <c r="AB156" s="1">
        <v>273</v>
      </c>
      <c r="AC156" s="1">
        <v>289</v>
      </c>
      <c r="AD156" s="1">
        <v>342</v>
      </c>
      <c r="AE156" s="1">
        <v>418</v>
      </c>
      <c r="AF156" s="1">
        <v>486</v>
      </c>
      <c r="AG156" s="1">
        <v>516</v>
      </c>
      <c r="AH156" s="1">
        <v>568</v>
      </c>
      <c r="AI156" s="1">
        <v>684</v>
      </c>
      <c r="AJ156" s="1">
        <v>618</v>
      </c>
      <c r="AK156" s="1">
        <v>680</v>
      </c>
      <c r="AL156" s="1">
        <v>744</v>
      </c>
      <c r="AM156" s="1">
        <v>773</v>
      </c>
      <c r="AN156" s="1">
        <v>798</v>
      </c>
      <c r="AO156" s="1">
        <v>797</v>
      </c>
      <c r="AP156" s="1">
        <v>824</v>
      </c>
      <c r="AQ156" s="1">
        <v>844</v>
      </c>
      <c r="AR156" s="1">
        <v>885</v>
      </c>
      <c r="AS156" s="1">
        <v>878</v>
      </c>
      <c r="AT156" s="1">
        <v>913</v>
      </c>
      <c r="AU156" s="1">
        <v>869</v>
      </c>
      <c r="AV156" s="1">
        <v>844</v>
      </c>
      <c r="AW156" s="1">
        <v>833</v>
      </c>
      <c r="AX156" s="1">
        <v>938</v>
      </c>
      <c r="AY156" s="1">
        <v>1068</v>
      </c>
      <c r="AZ156" s="1">
        <v>1160</v>
      </c>
    </row>
    <row r="157" spans="1:52" x14ac:dyDescent="0.3">
      <c r="A157" t="s">
        <v>156</v>
      </c>
      <c r="B157" s="1">
        <v>156</v>
      </c>
      <c r="C157" s="1">
        <v>154</v>
      </c>
      <c r="D157" s="1">
        <v>176</v>
      </c>
      <c r="E157" s="1">
        <v>215</v>
      </c>
      <c r="F157" s="1">
        <v>269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>
        <v>1008</v>
      </c>
      <c r="AB157" s="1">
        <v>1060</v>
      </c>
      <c r="AC157" s="1">
        <v>1148</v>
      </c>
      <c r="AD157" s="1">
        <v>1462</v>
      </c>
      <c r="AE157" s="1">
        <v>1714</v>
      </c>
      <c r="AF157" s="1">
        <v>1788</v>
      </c>
      <c r="AG157" s="1">
        <v>1910</v>
      </c>
      <c r="AH157" s="1">
        <v>2189</v>
      </c>
      <c r="AI157" s="1">
        <v>2403</v>
      </c>
      <c r="AJ157" s="1">
        <v>2062</v>
      </c>
      <c r="AK157" s="1">
        <v>1883</v>
      </c>
      <c r="AL157" s="1">
        <v>1813</v>
      </c>
      <c r="AM157" s="1">
        <v>1606</v>
      </c>
      <c r="AN157" s="1">
        <v>1678</v>
      </c>
      <c r="AO157" s="1">
        <v>1674</v>
      </c>
      <c r="AP157" s="1">
        <v>1420</v>
      </c>
      <c r="AQ157" s="1">
        <v>1468</v>
      </c>
      <c r="AR157" s="1">
        <v>1528</v>
      </c>
      <c r="AS157" s="1">
        <v>1656</v>
      </c>
      <c r="AT157" s="1">
        <v>1616</v>
      </c>
      <c r="AU157" s="1">
        <v>1543</v>
      </c>
      <c r="AV157" s="1">
        <v>1857</v>
      </c>
      <c r="AW157" s="1">
        <v>1833</v>
      </c>
      <c r="AX157" s="1">
        <v>2003</v>
      </c>
      <c r="AY157" s="1">
        <v>2063</v>
      </c>
      <c r="AZ157" s="1">
        <v>2047</v>
      </c>
    </row>
    <row r="158" spans="1:52" x14ac:dyDescent="0.3">
      <c r="A158" t="s">
        <v>157</v>
      </c>
      <c r="B158" s="1">
        <v>46773</v>
      </c>
      <c r="C158" s="1">
        <v>64006</v>
      </c>
      <c r="D158" s="1">
        <v>74189</v>
      </c>
      <c r="E158" s="1">
        <v>80267</v>
      </c>
      <c r="F158" s="1">
        <v>111858</v>
      </c>
      <c r="G158" s="1">
        <v>164540</v>
      </c>
      <c r="H158" s="1">
        <v>184292</v>
      </c>
      <c r="I158" s="1">
        <v>153240</v>
      </c>
      <c r="J158" s="1">
        <v>129181</v>
      </c>
      <c r="K158" s="1">
        <v>119631</v>
      </c>
      <c r="L158" s="1">
        <v>103894</v>
      </c>
      <c r="M158" s="1">
        <v>86886</v>
      </c>
      <c r="N158" s="1">
        <v>85582</v>
      </c>
      <c r="O158" s="1">
        <v>88138</v>
      </c>
      <c r="P158" s="1">
        <v>95217</v>
      </c>
      <c r="Q158" s="1">
        <v>117474</v>
      </c>
      <c r="R158" s="1">
        <v>132047</v>
      </c>
      <c r="S158" s="1">
        <v>136905</v>
      </c>
      <c r="T158" s="1">
        <v>132790</v>
      </c>
      <c r="U158" s="1">
        <v>134995</v>
      </c>
      <c r="V158" s="1">
        <v>143152</v>
      </c>
      <c r="W158" s="1">
        <v>158451</v>
      </c>
      <c r="X158" s="1">
        <v>165742</v>
      </c>
      <c r="Y158" s="1">
        <v>146776</v>
      </c>
      <c r="Z158" s="1">
        <v>161717</v>
      </c>
      <c r="AA158" s="1">
        <v>189515</v>
      </c>
      <c r="AB158" s="1">
        <v>184138</v>
      </c>
      <c r="AC158" s="1">
        <v>189606</v>
      </c>
      <c r="AD158" s="1">
        <v>215808</v>
      </c>
      <c r="AE158" s="1">
        <v>258742</v>
      </c>
      <c r="AF158" s="1">
        <v>328205</v>
      </c>
      <c r="AG158" s="1">
        <v>376398</v>
      </c>
      <c r="AH158" s="1">
        <v>415687</v>
      </c>
      <c r="AI158" s="1">
        <v>519797</v>
      </c>
      <c r="AJ158" s="1">
        <v>429098</v>
      </c>
      <c r="AK158" s="1">
        <v>528207</v>
      </c>
      <c r="AL158" s="1">
        <v>676635</v>
      </c>
      <c r="AM158" s="1">
        <v>741850</v>
      </c>
      <c r="AN158" s="1">
        <v>753864</v>
      </c>
      <c r="AO158" s="1">
        <v>766606</v>
      </c>
      <c r="AP158" s="1">
        <v>669485</v>
      </c>
      <c r="AQ158" s="1">
        <v>666000</v>
      </c>
      <c r="AR158" s="1">
        <v>714994</v>
      </c>
      <c r="AS158" s="1">
        <v>846584</v>
      </c>
      <c r="AT158" s="1">
        <v>838565</v>
      </c>
      <c r="AU158" s="1">
        <v>734271</v>
      </c>
      <c r="AV158" s="1">
        <v>874157</v>
      </c>
      <c r="AW158" s="1">
        <v>1108571</v>
      </c>
      <c r="AX158" s="1">
        <v>1067583</v>
      </c>
      <c r="AY158" s="1">
        <v>1085358</v>
      </c>
      <c r="AZ158" s="1">
        <v>1083749</v>
      </c>
    </row>
    <row r="159" spans="1:52" x14ac:dyDescent="0.3">
      <c r="A159" t="s">
        <v>158</v>
      </c>
      <c r="B159" s="1">
        <v>2078</v>
      </c>
      <c r="C159" s="1">
        <v>2107</v>
      </c>
      <c r="D159" s="1">
        <v>2157</v>
      </c>
      <c r="E159" s="1">
        <v>2403</v>
      </c>
      <c r="F159" s="1">
        <v>2998</v>
      </c>
      <c r="G159" s="1">
        <v>4338</v>
      </c>
      <c r="H159" s="1">
        <v>3934</v>
      </c>
      <c r="I159" s="1">
        <v>3850</v>
      </c>
      <c r="J159" s="1">
        <v>3435</v>
      </c>
      <c r="K159" s="1">
        <v>3350</v>
      </c>
      <c r="L159" s="1">
        <v>3668</v>
      </c>
      <c r="M159" s="1">
        <v>5188</v>
      </c>
      <c r="N159" s="1">
        <v>6241</v>
      </c>
      <c r="O159" s="1">
        <v>6173</v>
      </c>
      <c r="P159" s="1">
        <v>6083</v>
      </c>
      <c r="Q159" s="1">
        <v>7078</v>
      </c>
      <c r="R159" s="1">
        <v>6955</v>
      </c>
      <c r="S159" s="1">
        <v>7435</v>
      </c>
      <c r="T159" s="1">
        <v>7014</v>
      </c>
      <c r="U159" s="1">
        <v>4746</v>
      </c>
      <c r="V159" s="1">
        <v>6026</v>
      </c>
      <c r="W159" s="1">
        <v>6300</v>
      </c>
      <c r="X159" s="1">
        <v>5867</v>
      </c>
      <c r="Y159" s="1">
        <v>6416</v>
      </c>
      <c r="Z159" s="1">
        <v>6599</v>
      </c>
      <c r="AA159" s="1">
        <v>6016</v>
      </c>
      <c r="AB159" s="1">
        <v>6508</v>
      </c>
      <c r="AC159" s="1">
        <v>7001</v>
      </c>
      <c r="AD159" s="1">
        <v>8767</v>
      </c>
      <c r="AE159" s="1">
        <v>10072</v>
      </c>
      <c r="AF159" s="1">
        <v>11015</v>
      </c>
      <c r="AG159" s="1">
        <v>11699</v>
      </c>
      <c r="AH159" s="1">
        <v>13996</v>
      </c>
      <c r="AI159" s="1">
        <v>16852</v>
      </c>
      <c r="AJ159" s="1">
        <v>16128</v>
      </c>
      <c r="AK159" s="1">
        <v>16134</v>
      </c>
      <c r="AL159" s="1">
        <v>17811</v>
      </c>
      <c r="AM159" s="1">
        <v>17672</v>
      </c>
      <c r="AN159" s="1">
        <v>18919</v>
      </c>
      <c r="AO159" s="1">
        <v>19802</v>
      </c>
      <c r="AP159" s="1">
        <v>17777</v>
      </c>
      <c r="AQ159" s="1">
        <v>19035</v>
      </c>
      <c r="AR159" s="1">
        <v>20989</v>
      </c>
      <c r="AS159" s="1">
        <v>23127</v>
      </c>
      <c r="AT159" s="1">
        <v>23405</v>
      </c>
      <c r="AU159" s="1">
        <v>24534</v>
      </c>
      <c r="AV159" s="1">
        <v>27584</v>
      </c>
      <c r="AW159" s="1">
        <v>27750</v>
      </c>
      <c r="AX159" s="1">
        <v>30625</v>
      </c>
      <c r="AY159" s="1">
        <v>32892</v>
      </c>
      <c r="AZ159" s="1">
        <v>34728</v>
      </c>
    </row>
    <row r="160" spans="1:52" x14ac:dyDescent="0.3">
      <c r="A160" t="s">
        <v>159</v>
      </c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>
        <v>10431</v>
      </c>
      <c r="AB160" s="1">
        <v>13650</v>
      </c>
      <c r="AC160" s="1">
        <v>17997</v>
      </c>
      <c r="AD160" s="1">
        <v>23627</v>
      </c>
      <c r="AE160" s="1">
        <v>26718</v>
      </c>
      <c r="AF160" s="1">
        <v>28143</v>
      </c>
      <c r="AG160" s="1">
        <v>33421</v>
      </c>
      <c r="AH160" s="1">
        <v>45121</v>
      </c>
      <c r="AI160" s="1">
        <v>54117</v>
      </c>
      <c r="AJ160" s="1">
        <v>46949</v>
      </c>
      <c r="AK160" s="1">
        <v>43067</v>
      </c>
      <c r="AL160" s="1">
        <v>51274</v>
      </c>
      <c r="AM160" s="1">
        <v>45111</v>
      </c>
      <c r="AN160" s="1">
        <v>50456</v>
      </c>
      <c r="AO160" s="1">
        <v>49114</v>
      </c>
      <c r="AP160" s="1">
        <v>41297</v>
      </c>
      <c r="AQ160" s="1">
        <v>42225</v>
      </c>
      <c r="AR160" s="1">
        <v>45973</v>
      </c>
      <c r="AS160" s="1">
        <v>52788</v>
      </c>
      <c r="AT160" s="1">
        <v>53865</v>
      </c>
      <c r="AU160" s="1">
        <v>55874</v>
      </c>
      <c r="AV160" s="1">
        <v>65830</v>
      </c>
      <c r="AW160" s="1">
        <v>66798</v>
      </c>
      <c r="AX160" s="1">
        <v>81343</v>
      </c>
      <c r="AY160" s="1">
        <v>89074</v>
      </c>
      <c r="AZ160" s="1">
        <v>92549</v>
      </c>
    </row>
    <row r="161" spans="1:52" x14ac:dyDescent="0.3">
      <c r="A161" t="s">
        <v>160</v>
      </c>
      <c r="B161" s="1">
        <v>59</v>
      </c>
      <c r="C161" s="1">
        <v>61</v>
      </c>
      <c r="D161" s="1">
        <v>80</v>
      </c>
      <c r="E161" s="1">
        <v>106</v>
      </c>
      <c r="F161" s="1">
        <v>157</v>
      </c>
      <c r="G161" s="1">
        <v>147</v>
      </c>
      <c r="H161" s="1">
        <v>154</v>
      </c>
      <c r="I161" s="1">
        <v>148</v>
      </c>
      <c r="J161" s="1">
        <v>147</v>
      </c>
      <c r="K161" s="1">
        <v>151</v>
      </c>
      <c r="L161" s="1">
        <v>169</v>
      </c>
      <c r="M161" s="1">
        <v>208</v>
      </c>
      <c r="N161" s="1">
        <v>249</v>
      </c>
      <c r="O161" s="1">
        <v>284</v>
      </c>
      <c r="P161" s="1">
        <v>305</v>
      </c>
      <c r="Q161" s="1">
        <v>369</v>
      </c>
      <c r="R161" s="1">
        <v>374</v>
      </c>
      <c r="S161" s="1">
        <v>434</v>
      </c>
      <c r="T161" s="1">
        <v>474</v>
      </c>
      <c r="U161" s="1">
        <v>486</v>
      </c>
      <c r="V161" s="1">
        <v>508</v>
      </c>
      <c r="W161" s="1">
        <v>503</v>
      </c>
      <c r="X161" s="1">
        <v>563</v>
      </c>
      <c r="Y161" s="1">
        <v>608</v>
      </c>
      <c r="Z161" s="1">
        <v>623</v>
      </c>
      <c r="AA161" s="1">
        <v>615</v>
      </c>
      <c r="AB161" s="1">
        <v>622</v>
      </c>
      <c r="AC161" s="1">
        <v>698</v>
      </c>
      <c r="AD161" s="1">
        <v>706</v>
      </c>
      <c r="AE161" s="1">
        <v>839</v>
      </c>
      <c r="AF161" s="1">
        <v>919</v>
      </c>
      <c r="AG161" s="1">
        <v>1016</v>
      </c>
      <c r="AH161" s="1">
        <v>1034</v>
      </c>
      <c r="AI161" s="1">
        <v>998</v>
      </c>
      <c r="AJ161" s="1">
        <v>847</v>
      </c>
      <c r="AK161" s="1">
        <v>970</v>
      </c>
      <c r="AL161" s="1">
        <v>1018</v>
      </c>
      <c r="AM161" s="1">
        <v>1060</v>
      </c>
      <c r="AN161" s="1">
        <v>1328</v>
      </c>
      <c r="AO161" s="1">
        <v>1388</v>
      </c>
      <c r="AP161" s="1">
        <v>1432</v>
      </c>
      <c r="AQ161" s="1">
        <v>1568</v>
      </c>
      <c r="AR161" s="1">
        <v>1675</v>
      </c>
      <c r="AS161" s="1">
        <v>1777</v>
      </c>
      <c r="AT161" s="1">
        <v>1867</v>
      </c>
      <c r="AU161" s="1">
        <v>1384</v>
      </c>
      <c r="AV161" s="1">
        <v>1490</v>
      </c>
      <c r="AW161" s="1">
        <v>2018</v>
      </c>
      <c r="AX161" s="1">
        <v>2187</v>
      </c>
      <c r="AY161" s="1">
        <v>2168</v>
      </c>
      <c r="AZ161" s="1">
        <v>2198</v>
      </c>
    </row>
    <row r="162" spans="1:52" x14ac:dyDescent="0.3">
      <c r="A162" t="s">
        <v>161</v>
      </c>
      <c r="B162" s="1">
        <v>743</v>
      </c>
      <c r="C162" s="1">
        <v>690</v>
      </c>
      <c r="D162" s="1">
        <v>787</v>
      </c>
      <c r="E162" s="1">
        <v>1015</v>
      </c>
      <c r="F162" s="1">
        <v>1170</v>
      </c>
      <c r="G162" s="1">
        <v>2708</v>
      </c>
      <c r="H162" s="1">
        <v>2903</v>
      </c>
      <c r="I162" s="1">
        <v>3264</v>
      </c>
      <c r="J162" s="1">
        <v>2838</v>
      </c>
      <c r="K162" s="1">
        <v>3283</v>
      </c>
      <c r="L162" s="1">
        <v>2794</v>
      </c>
      <c r="M162" s="1">
        <v>2092</v>
      </c>
      <c r="N162" s="1">
        <v>1823</v>
      </c>
      <c r="O162" s="1">
        <v>2988</v>
      </c>
      <c r="P162" s="1">
        <v>2745</v>
      </c>
      <c r="Q162" s="1">
        <v>1509</v>
      </c>
      <c r="R162" s="1">
        <v>1812</v>
      </c>
      <c r="S162" s="1">
        <v>1580</v>
      </c>
      <c r="T162" s="1">
        <v>1786</v>
      </c>
      <c r="U162" s="1">
        <v>2118</v>
      </c>
      <c r="V162" s="1">
        <v>2026</v>
      </c>
      <c r="W162" s="1">
        <v>2188</v>
      </c>
      <c r="X162" s="1">
        <v>1974</v>
      </c>
      <c r="Y162" s="1">
        <v>1562</v>
      </c>
      <c r="Z162" s="1">
        <v>1555</v>
      </c>
      <c r="AA162" s="1">
        <v>1498</v>
      </c>
      <c r="AB162" s="1">
        <v>1726</v>
      </c>
      <c r="AC162" s="1">
        <v>1990</v>
      </c>
      <c r="AD162" s="1">
        <v>2218</v>
      </c>
      <c r="AE162" s="1">
        <v>2339</v>
      </c>
      <c r="AF162" s="1">
        <v>2738</v>
      </c>
      <c r="AG162" s="1">
        <v>3144</v>
      </c>
      <c r="AH162" s="1">
        <v>3451</v>
      </c>
      <c r="AI162" s="1">
        <v>3926</v>
      </c>
      <c r="AJ162" s="1">
        <v>3795</v>
      </c>
      <c r="AK162" s="1">
        <v>4174</v>
      </c>
      <c r="AL162" s="1">
        <v>4799</v>
      </c>
      <c r="AM162" s="1">
        <v>5746</v>
      </c>
      <c r="AN162" s="1">
        <v>6736</v>
      </c>
      <c r="AO162" s="1">
        <v>6521</v>
      </c>
      <c r="AP162" s="1">
        <v>6750</v>
      </c>
      <c r="AQ162" s="1">
        <v>6038</v>
      </c>
      <c r="AR162" s="1">
        <v>5823</v>
      </c>
      <c r="AS162" s="1">
        <v>6390</v>
      </c>
      <c r="AT162" s="1">
        <v>6519</v>
      </c>
      <c r="AU162" s="1">
        <v>6682</v>
      </c>
      <c r="AV162" s="1">
        <v>7165</v>
      </c>
      <c r="AW162" s="1">
        <v>7119</v>
      </c>
      <c r="AX162" s="1">
        <v>6397</v>
      </c>
      <c r="AY162" s="1">
        <v>7653</v>
      </c>
      <c r="AZ162" s="1">
        <v>8386</v>
      </c>
    </row>
    <row r="163" spans="1:52" x14ac:dyDescent="0.3">
      <c r="A163" t="s">
        <v>162</v>
      </c>
      <c r="B163" s="1">
        <v>5787</v>
      </c>
      <c r="C163" s="1">
        <v>6066</v>
      </c>
      <c r="D163" s="1">
        <v>6694</v>
      </c>
      <c r="E163" s="1">
        <v>8048</v>
      </c>
      <c r="F163" s="1">
        <v>9702</v>
      </c>
      <c r="G163" s="1">
        <v>12082</v>
      </c>
      <c r="H163" s="1">
        <v>14367</v>
      </c>
      <c r="I163" s="1">
        <v>15879</v>
      </c>
      <c r="J163" s="1">
        <v>18011</v>
      </c>
      <c r="K163" s="1">
        <v>19563</v>
      </c>
      <c r="L163" s="1">
        <v>18573</v>
      </c>
      <c r="M163" s="1">
        <v>18780</v>
      </c>
      <c r="N163" s="1">
        <v>21629</v>
      </c>
      <c r="O163" s="1">
        <v>26551</v>
      </c>
      <c r="P163" s="1">
        <v>31436</v>
      </c>
      <c r="Q163" s="1">
        <v>38892</v>
      </c>
      <c r="R163" s="1">
        <v>45465</v>
      </c>
      <c r="S163" s="1">
        <v>52131</v>
      </c>
      <c r="T163" s="1">
        <v>60604</v>
      </c>
      <c r="U163" s="1">
        <v>73689</v>
      </c>
      <c r="V163" s="1">
        <v>87813</v>
      </c>
      <c r="W163" s="1">
        <v>96293</v>
      </c>
      <c r="X163" s="1">
        <v>100124</v>
      </c>
      <c r="Y163" s="1">
        <v>85728</v>
      </c>
      <c r="Z163" s="1">
        <v>86287</v>
      </c>
      <c r="AA163" s="1">
        <v>96077</v>
      </c>
      <c r="AB163" s="1">
        <v>89794</v>
      </c>
      <c r="AC163" s="1">
        <v>92538</v>
      </c>
      <c r="AD163" s="1">
        <v>97646</v>
      </c>
      <c r="AE163" s="1">
        <v>115034</v>
      </c>
      <c r="AF163" s="1">
        <v>127808</v>
      </c>
      <c r="AG163" s="1">
        <v>148627</v>
      </c>
      <c r="AH163" s="1">
        <v>180942</v>
      </c>
      <c r="AI163" s="1">
        <v>193617</v>
      </c>
      <c r="AJ163" s="1">
        <v>194150</v>
      </c>
      <c r="AK163" s="1">
        <v>239808</v>
      </c>
      <c r="AL163" s="1">
        <v>279357</v>
      </c>
      <c r="AM163" s="1">
        <v>295093</v>
      </c>
      <c r="AN163" s="1">
        <v>307576</v>
      </c>
      <c r="AO163" s="1">
        <v>314864</v>
      </c>
      <c r="AP163" s="1">
        <v>307999</v>
      </c>
      <c r="AQ163" s="1">
        <v>319646</v>
      </c>
      <c r="AR163" s="1">
        <v>343673</v>
      </c>
      <c r="AS163" s="1">
        <v>377124</v>
      </c>
      <c r="AT163" s="1">
        <v>376162</v>
      </c>
      <c r="AU163" s="1">
        <v>349166</v>
      </c>
      <c r="AV163" s="1">
        <v>436591</v>
      </c>
      <c r="AW163" s="1">
        <v>509018</v>
      </c>
      <c r="AX163" s="1">
        <v>505440</v>
      </c>
      <c r="AY163" s="1">
        <v>547387</v>
      </c>
      <c r="AZ163" s="1">
        <v>564774</v>
      </c>
    </row>
    <row r="164" spans="1:52" x14ac:dyDescent="0.3">
      <c r="A164" t="s">
        <v>163</v>
      </c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>
        <v>13906</v>
      </c>
      <c r="U164" s="1">
        <v>16046</v>
      </c>
      <c r="V164" s="1">
        <v>20297</v>
      </c>
      <c r="W164" s="1">
        <v>21871</v>
      </c>
      <c r="X164" s="1">
        <v>22037</v>
      </c>
      <c r="Y164" s="1">
        <v>22917</v>
      </c>
      <c r="Z164" s="1">
        <v>20890</v>
      </c>
      <c r="AA164" s="1">
        <v>20711</v>
      </c>
      <c r="AB164" s="1">
        <v>21384</v>
      </c>
      <c r="AC164" s="1">
        <v>24849</v>
      </c>
      <c r="AD164" s="1">
        <v>33864</v>
      </c>
      <c r="AE164" s="1">
        <v>43023</v>
      </c>
      <c r="AF164" s="1">
        <v>48912</v>
      </c>
      <c r="AG164" s="1">
        <v>57480</v>
      </c>
      <c r="AH164" s="1">
        <v>77260</v>
      </c>
      <c r="AI164" s="1">
        <v>97122</v>
      </c>
      <c r="AJ164" s="1">
        <v>89246</v>
      </c>
      <c r="AK164" s="1">
        <v>91187</v>
      </c>
      <c r="AL164" s="1">
        <v>99688</v>
      </c>
      <c r="AM164" s="1">
        <v>94784</v>
      </c>
      <c r="AN164" s="1">
        <v>99136</v>
      </c>
      <c r="AO164" s="1">
        <v>101739</v>
      </c>
      <c r="AP164" s="1">
        <v>89188</v>
      </c>
      <c r="AQ164" s="1">
        <v>90322</v>
      </c>
      <c r="AR164" s="1">
        <v>95944</v>
      </c>
      <c r="AS164" s="1">
        <v>106660</v>
      </c>
      <c r="AT164" s="1">
        <v>105855</v>
      </c>
      <c r="AU164" s="1">
        <v>107646</v>
      </c>
      <c r="AV164" s="1">
        <v>120672</v>
      </c>
      <c r="AW164" s="1">
        <v>116020</v>
      </c>
      <c r="AX164" s="1">
        <v>132947</v>
      </c>
      <c r="AY164" s="1">
        <v>140636</v>
      </c>
      <c r="AZ164" s="1">
        <v>147031</v>
      </c>
    </row>
    <row r="165" spans="1:52" x14ac:dyDescent="0.3">
      <c r="A165" t="s">
        <v>164</v>
      </c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>
        <v>19285</v>
      </c>
      <c r="T165" s="1">
        <v>16637</v>
      </c>
      <c r="U165" s="1">
        <v>16857</v>
      </c>
      <c r="V165" s="1">
        <v>21399</v>
      </c>
      <c r="W165" s="1">
        <v>21480</v>
      </c>
      <c r="X165" s="1">
        <v>20769</v>
      </c>
      <c r="Y165" s="1">
        <v>22080</v>
      </c>
      <c r="Z165" s="1">
        <v>22668</v>
      </c>
      <c r="AA165" s="1">
        <v>20262</v>
      </c>
      <c r="AB165" s="1">
        <v>20693</v>
      </c>
      <c r="AC165" s="1">
        <v>23263</v>
      </c>
      <c r="AD165" s="1">
        <v>29399</v>
      </c>
      <c r="AE165" s="1">
        <v>34190</v>
      </c>
      <c r="AF165" s="1">
        <v>36002</v>
      </c>
      <c r="AG165" s="1">
        <v>39293</v>
      </c>
      <c r="AH165" s="1">
        <v>47886</v>
      </c>
      <c r="AI165" s="1">
        <v>55503</v>
      </c>
      <c r="AJ165" s="1">
        <v>49921</v>
      </c>
      <c r="AK165" s="1">
        <v>47832</v>
      </c>
      <c r="AL165" s="1">
        <v>51190</v>
      </c>
      <c r="AM165" s="1">
        <v>46196</v>
      </c>
      <c r="AN165" s="1">
        <v>47868</v>
      </c>
      <c r="AO165" s="1">
        <v>49527</v>
      </c>
      <c r="AP165" s="1">
        <v>42714</v>
      </c>
      <c r="AQ165" s="1">
        <v>44279</v>
      </c>
      <c r="AR165" s="1">
        <v>48136</v>
      </c>
      <c r="AS165" s="1">
        <v>53713</v>
      </c>
      <c r="AT165" s="1">
        <v>53916</v>
      </c>
      <c r="AU165" s="1">
        <v>53342</v>
      </c>
      <c r="AV165" s="1">
        <v>61570</v>
      </c>
      <c r="AW165" s="1">
        <v>59975</v>
      </c>
      <c r="AX165" s="1">
        <v>69168</v>
      </c>
      <c r="AY165" s="1">
        <v>72463</v>
      </c>
      <c r="AZ165" s="1">
        <v>75224</v>
      </c>
    </row>
    <row r="166" spans="1:52" x14ac:dyDescent="0.3">
      <c r="A166" t="s">
        <v>165</v>
      </c>
      <c r="B166" s="1">
        <v>65</v>
      </c>
      <c r="C166" s="1">
        <v>72</v>
      </c>
      <c r="D166" s="1">
        <v>82</v>
      </c>
      <c r="E166" s="1">
        <v>98</v>
      </c>
      <c r="F166" s="1">
        <v>130</v>
      </c>
      <c r="G166" s="1">
        <v>183</v>
      </c>
      <c r="H166" s="1">
        <v>194</v>
      </c>
      <c r="I166" s="1">
        <v>193</v>
      </c>
      <c r="J166" s="1">
        <v>181</v>
      </c>
      <c r="K166" s="1">
        <v>182</v>
      </c>
      <c r="L166" s="1">
        <v>166</v>
      </c>
      <c r="M166" s="1">
        <v>148</v>
      </c>
      <c r="N166" s="1">
        <v>155</v>
      </c>
      <c r="O166" s="1">
        <v>176</v>
      </c>
      <c r="P166" s="1">
        <v>173</v>
      </c>
      <c r="Q166" s="1">
        <v>215</v>
      </c>
      <c r="R166" s="1">
        <v>228</v>
      </c>
      <c r="S166" s="1">
        <v>269</v>
      </c>
      <c r="T166" s="1">
        <v>301</v>
      </c>
      <c r="U166" s="1">
        <v>403</v>
      </c>
      <c r="V166" s="1">
        <v>469</v>
      </c>
      <c r="W166" s="1">
        <v>511</v>
      </c>
      <c r="X166" s="1">
        <v>527</v>
      </c>
      <c r="Y166" s="1">
        <v>458</v>
      </c>
      <c r="Z166" s="1">
        <v>488</v>
      </c>
      <c r="AA166" s="1">
        <v>420</v>
      </c>
      <c r="AB166" s="1">
        <v>410</v>
      </c>
      <c r="AC166" s="1">
        <v>346</v>
      </c>
      <c r="AD166" s="1">
        <v>353</v>
      </c>
      <c r="AE166" s="1">
        <v>398</v>
      </c>
      <c r="AF166" s="1">
        <v>477</v>
      </c>
      <c r="AG166" s="1">
        <v>539</v>
      </c>
      <c r="AH166" s="1">
        <v>620</v>
      </c>
      <c r="AI166" s="1">
        <v>699</v>
      </c>
      <c r="AJ166" s="1">
        <v>736</v>
      </c>
      <c r="AK166" s="1">
        <v>847</v>
      </c>
      <c r="AL166" s="1">
        <v>1050</v>
      </c>
      <c r="AM166" s="1">
        <v>1185</v>
      </c>
      <c r="AN166" s="1">
        <v>1286</v>
      </c>
      <c r="AO166" s="1">
        <v>1336</v>
      </c>
      <c r="AP166" s="1">
        <v>1308</v>
      </c>
      <c r="AQ166" s="1">
        <v>1379</v>
      </c>
      <c r="AR166" s="1">
        <v>1470</v>
      </c>
      <c r="AS166" s="1">
        <v>1615</v>
      </c>
      <c r="AT166" s="1">
        <v>1619</v>
      </c>
      <c r="AU166" s="1">
        <v>1536</v>
      </c>
      <c r="AV166" s="1">
        <v>1523</v>
      </c>
      <c r="AW166" s="1">
        <v>1566</v>
      </c>
      <c r="AX166" s="1">
        <v>1661</v>
      </c>
      <c r="AY166" s="1">
        <v>1777</v>
      </c>
      <c r="AZ166" s="1">
        <v>1898</v>
      </c>
    </row>
    <row r="167" spans="1:52" x14ac:dyDescent="0.3">
      <c r="A167" t="s">
        <v>166</v>
      </c>
      <c r="B167" s="1">
        <v>757</v>
      </c>
      <c r="C167" s="1">
        <v>871</v>
      </c>
      <c r="D167" s="1">
        <v>441</v>
      </c>
      <c r="E167" s="1">
        <v>500</v>
      </c>
      <c r="F167" s="1">
        <v>514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>
        <v>5022</v>
      </c>
      <c r="AM167" s="1">
        <v>5183</v>
      </c>
      <c r="AN167" s="1">
        <v>5869</v>
      </c>
      <c r="AO167" s="1">
        <v>6443</v>
      </c>
      <c r="AP167" s="1">
        <v>6841</v>
      </c>
      <c r="AQ167" s="1">
        <v>7391</v>
      </c>
      <c r="AR167" s="1">
        <v>8252</v>
      </c>
      <c r="AS167" s="1">
        <v>7873</v>
      </c>
      <c r="AT167" s="1">
        <v>8655</v>
      </c>
      <c r="AU167" s="1">
        <v>8628</v>
      </c>
      <c r="AV167" s="1">
        <v>9484</v>
      </c>
      <c r="AW167" s="1">
        <v>10203</v>
      </c>
      <c r="AX167" s="1">
        <v>10969</v>
      </c>
      <c r="AY167" s="1">
        <v>12134</v>
      </c>
      <c r="AZ167" s="1">
        <v>12994</v>
      </c>
    </row>
    <row r="168" spans="1:52" x14ac:dyDescent="0.3">
      <c r="A168" t="s">
        <v>167</v>
      </c>
      <c r="B168" s="1">
        <v>36948</v>
      </c>
      <c r="C168" s="1">
        <v>35475</v>
      </c>
      <c r="D168" s="1">
        <v>39400</v>
      </c>
      <c r="E168" s="1">
        <v>45328</v>
      </c>
      <c r="F168" s="1">
        <v>55937</v>
      </c>
      <c r="G168" s="1">
        <v>89412</v>
      </c>
      <c r="H168" s="1">
        <v>93150</v>
      </c>
      <c r="I168" s="1">
        <v>85897</v>
      </c>
      <c r="J168" s="1">
        <v>96205</v>
      </c>
      <c r="K168" s="1">
        <v>84838</v>
      </c>
      <c r="L168" s="1">
        <v>64481</v>
      </c>
      <c r="M168" s="1">
        <v>73399</v>
      </c>
      <c r="N168" s="1">
        <v>96533</v>
      </c>
      <c r="O168" s="1">
        <v>104010</v>
      </c>
      <c r="P168" s="1">
        <v>108070</v>
      </c>
      <c r="Q168" s="1">
        <v>126027</v>
      </c>
      <c r="R168" s="1">
        <v>135227</v>
      </c>
      <c r="S168" s="1">
        <v>146970</v>
      </c>
      <c r="T168" s="1">
        <v>147236</v>
      </c>
      <c r="U168" s="1">
        <v>153569</v>
      </c>
      <c r="V168" s="1">
        <v>171736</v>
      </c>
      <c r="W168" s="1">
        <v>163340</v>
      </c>
      <c r="X168" s="1">
        <v>169004</v>
      </c>
      <c r="Y168" s="1">
        <v>152885</v>
      </c>
      <c r="Z168" s="1">
        <v>151426</v>
      </c>
      <c r="AA168" s="1">
        <v>151855</v>
      </c>
      <c r="AB168" s="1">
        <v>135527</v>
      </c>
      <c r="AC168" s="1">
        <v>129385</v>
      </c>
      <c r="AD168" s="1">
        <v>197017</v>
      </c>
      <c r="AE168" s="1">
        <v>256188</v>
      </c>
      <c r="AF168" s="1">
        <v>288749</v>
      </c>
      <c r="AG168" s="1">
        <v>304055</v>
      </c>
      <c r="AH168" s="1">
        <v>332650</v>
      </c>
      <c r="AI168" s="1">
        <v>316491</v>
      </c>
      <c r="AJ168" s="1">
        <v>331184</v>
      </c>
      <c r="AK168" s="1">
        <v>417315</v>
      </c>
      <c r="AL168" s="1">
        <v>458708</v>
      </c>
      <c r="AM168" s="1">
        <v>434400</v>
      </c>
      <c r="AN168" s="1">
        <v>400877</v>
      </c>
      <c r="AO168" s="1">
        <v>381195</v>
      </c>
      <c r="AP168" s="1">
        <v>346663</v>
      </c>
      <c r="AQ168" s="1">
        <v>323493</v>
      </c>
      <c r="AR168" s="1">
        <v>381317</v>
      </c>
      <c r="AS168" s="1">
        <v>405093</v>
      </c>
      <c r="AT168" s="1">
        <v>389245</v>
      </c>
      <c r="AU168" s="1">
        <v>337876</v>
      </c>
      <c r="AV168" s="1">
        <v>420778</v>
      </c>
      <c r="AW168" s="1">
        <v>406755</v>
      </c>
      <c r="AX168" s="1">
        <v>380592</v>
      </c>
      <c r="AY168" s="1">
        <v>400191</v>
      </c>
      <c r="AZ168" s="1">
        <v>410338</v>
      </c>
    </row>
    <row r="169" spans="1:52" x14ac:dyDescent="0.3">
      <c r="A169" t="s">
        <v>168</v>
      </c>
      <c r="B169" s="1">
        <v>21648</v>
      </c>
      <c r="C169" s="1">
        <v>29774</v>
      </c>
      <c r="D169" s="1">
        <v>38227</v>
      </c>
      <c r="E169" s="1">
        <v>51539</v>
      </c>
      <c r="F169" s="1">
        <v>66218</v>
      </c>
      <c r="G169" s="1">
        <v>66517</v>
      </c>
      <c r="H169" s="1">
        <v>74287</v>
      </c>
      <c r="I169" s="1">
        <v>79912</v>
      </c>
      <c r="J169" s="1">
        <v>89621</v>
      </c>
      <c r="K169" s="1">
        <v>99750</v>
      </c>
      <c r="L169" s="1">
        <v>103764</v>
      </c>
      <c r="M169" s="1">
        <v>119966</v>
      </c>
      <c r="N169" s="1">
        <v>152241</v>
      </c>
      <c r="O169" s="1">
        <v>205479</v>
      </c>
      <c r="P169" s="1">
        <v>254236</v>
      </c>
      <c r="Q169" s="1">
        <v>292064</v>
      </c>
      <c r="R169" s="1">
        <v>340863</v>
      </c>
      <c r="S169" s="1">
        <v>366912</v>
      </c>
      <c r="T169" s="1">
        <v>405772</v>
      </c>
      <c r="U169" s="1">
        <v>478988</v>
      </c>
      <c r="V169" s="1">
        <v>586301</v>
      </c>
      <c r="W169" s="1">
        <v>631194</v>
      </c>
      <c r="X169" s="1">
        <v>590070</v>
      </c>
      <c r="Y169" s="1">
        <v>396803</v>
      </c>
      <c r="Z169" s="1">
        <v>515427</v>
      </c>
      <c r="AA169" s="1">
        <v>597802</v>
      </c>
      <c r="AB169" s="1">
        <v>567655</v>
      </c>
      <c r="AC169" s="1">
        <v>649747</v>
      </c>
      <c r="AD169" s="1">
        <v>728497</v>
      </c>
      <c r="AE169" s="1">
        <v>822583</v>
      </c>
      <c r="AF169" s="1">
        <v>971540</v>
      </c>
      <c r="AG169" s="1">
        <v>1094545</v>
      </c>
      <c r="AH169" s="1">
        <v>1220756</v>
      </c>
      <c r="AI169" s="1">
        <v>1093487</v>
      </c>
      <c r="AJ169" s="1">
        <v>982854</v>
      </c>
      <c r="AK169" s="1">
        <v>1192722</v>
      </c>
      <c r="AL169" s="1">
        <v>1307239</v>
      </c>
      <c r="AM169" s="1">
        <v>1335344</v>
      </c>
      <c r="AN169" s="1">
        <v>1434670</v>
      </c>
      <c r="AO169" s="1">
        <v>1556252</v>
      </c>
      <c r="AP169" s="1">
        <v>1539212</v>
      </c>
      <c r="AQ169" s="1">
        <v>1578816</v>
      </c>
      <c r="AR169" s="1">
        <v>1710197</v>
      </c>
      <c r="AS169" s="1">
        <v>1824251</v>
      </c>
      <c r="AT169" s="1">
        <v>1751046</v>
      </c>
      <c r="AU169" s="1">
        <v>1744456</v>
      </c>
      <c r="AV169" s="1">
        <v>1942314</v>
      </c>
      <c r="AW169" s="1">
        <v>1799363</v>
      </c>
      <c r="AX169" s="1">
        <v>1839058</v>
      </c>
      <c r="AY169" s="1">
        <v>1869714</v>
      </c>
      <c r="AZ169" s="1">
        <v>1790322</v>
      </c>
    </row>
    <row r="170" spans="1:52" x14ac:dyDescent="0.3">
      <c r="A170" t="s">
        <v>169</v>
      </c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>
        <v>17340</v>
      </c>
      <c r="AM170" s="1">
        <v>11267</v>
      </c>
      <c r="AN170" s="1">
        <v>14947</v>
      </c>
      <c r="AO170" s="1">
        <v>15178</v>
      </c>
      <c r="AP170" s="1">
        <v>15326</v>
      </c>
      <c r="AQ170" s="1">
        <v>2419</v>
      </c>
      <c r="AR170" s="1">
        <v>1302</v>
      </c>
      <c r="AS170" s="1">
        <v>2687</v>
      </c>
      <c r="AT170" s="1">
        <v>4044</v>
      </c>
      <c r="AU170" s="1">
        <v>5423</v>
      </c>
      <c r="AV170" s="1">
        <v>5940</v>
      </c>
      <c r="AW170" s="1">
        <v>8037</v>
      </c>
      <c r="AX170" s="1">
        <v>7186</v>
      </c>
      <c r="AY170" s="1">
        <v>5423</v>
      </c>
      <c r="AZ170" s="1">
        <v>3998</v>
      </c>
    </row>
    <row r="171" spans="1:52" x14ac:dyDescent="0.3">
      <c r="A171" t="s">
        <v>170</v>
      </c>
      <c r="B171" s="1">
        <v>141</v>
      </c>
      <c r="C171" s="1">
        <v>183</v>
      </c>
      <c r="D171" s="1">
        <v>226</v>
      </c>
      <c r="E171" s="1">
        <v>272</v>
      </c>
      <c r="F171" s="1">
        <v>293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3">
      <c r="A172" t="s">
        <v>171</v>
      </c>
      <c r="B172" s="1">
        <v>685972</v>
      </c>
      <c r="C172" s="1">
        <v>688530</v>
      </c>
      <c r="D172" s="1">
        <v>738417</v>
      </c>
      <c r="E172" s="1">
        <v>840139</v>
      </c>
      <c r="F172" s="1">
        <v>901616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3">
      <c r="A173" t="s">
        <v>172</v>
      </c>
      <c r="B173" s="1">
        <v>111435</v>
      </c>
      <c r="C173" s="1">
        <v>115065</v>
      </c>
      <c r="D173" s="1">
        <v>128590</v>
      </c>
      <c r="E173" s="1">
        <v>155939</v>
      </c>
      <c r="F173" s="1">
        <v>208351</v>
      </c>
      <c r="G173" s="1">
        <v>231048</v>
      </c>
      <c r="H173" s="1">
        <v>204843</v>
      </c>
      <c r="I173" s="1">
        <v>197890</v>
      </c>
      <c r="J173" s="1">
        <v>173072</v>
      </c>
      <c r="K173" s="1">
        <v>172597</v>
      </c>
      <c r="L173" s="1">
        <v>181847</v>
      </c>
      <c r="M173" s="1">
        <v>251618</v>
      </c>
      <c r="N173" s="1">
        <v>318787</v>
      </c>
      <c r="O173" s="1">
        <v>374535</v>
      </c>
      <c r="P173" s="1">
        <v>413106</v>
      </c>
      <c r="Q173" s="1">
        <v>536322</v>
      </c>
      <c r="R173" s="1">
        <v>577166</v>
      </c>
      <c r="S173" s="1">
        <v>630910</v>
      </c>
      <c r="T173" s="1">
        <v>529980</v>
      </c>
      <c r="U173" s="1">
        <v>531801</v>
      </c>
      <c r="V173" s="1">
        <v>614713</v>
      </c>
      <c r="W173" s="1">
        <v>642480</v>
      </c>
      <c r="X173" s="1">
        <v>590500</v>
      </c>
      <c r="Y173" s="1">
        <v>619541</v>
      </c>
      <c r="Z173" s="1">
        <v>635025</v>
      </c>
      <c r="AA173" s="1">
        <v>598367</v>
      </c>
      <c r="AB173" s="1">
        <v>627803</v>
      </c>
      <c r="AC173" s="1">
        <v>708437</v>
      </c>
      <c r="AD173" s="1">
        <v>907736</v>
      </c>
      <c r="AE173" s="1">
        <v>1069344</v>
      </c>
      <c r="AF173" s="1">
        <v>1155306</v>
      </c>
      <c r="AG173" s="1">
        <v>1261914</v>
      </c>
      <c r="AH173" s="1">
        <v>1476920</v>
      </c>
      <c r="AI173" s="1">
        <v>1635936</v>
      </c>
      <c r="AJ173" s="1">
        <v>1494963</v>
      </c>
      <c r="AK173" s="1">
        <v>1429155</v>
      </c>
      <c r="AL173" s="1">
        <v>1487307</v>
      </c>
      <c r="AM173" s="1">
        <v>1331838</v>
      </c>
      <c r="AN173" s="1">
        <v>1362207</v>
      </c>
      <c r="AO173" s="1">
        <v>1380600</v>
      </c>
      <c r="AP173" s="1">
        <v>1206287</v>
      </c>
      <c r="AQ173" s="1">
        <v>1242673</v>
      </c>
      <c r="AR173" s="1">
        <v>1321288</v>
      </c>
      <c r="AS173" s="1">
        <v>1432292</v>
      </c>
      <c r="AT173" s="1">
        <v>1403651</v>
      </c>
      <c r="AU173" s="1">
        <v>1288751</v>
      </c>
      <c r="AV173" s="1">
        <v>1462216</v>
      </c>
      <c r="AW173" s="1">
        <v>1447636</v>
      </c>
      <c r="AX173" s="1">
        <v>1620558</v>
      </c>
      <c r="AY173" s="1">
        <v>1722227</v>
      </c>
      <c r="AZ173" s="1">
        <v>1799511</v>
      </c>
    </row>
    <row r="174" spans="1:52" x14ac:dyDescent="0.3">
      <c r="A174" t="s">
        <v>173</v>
      </c>
      <c r="B174" s="1">
        <v>3941</v>
      </c>
      <c r="C174" s="1">
        <v>3749</v>
      </c>
      <c r="D174" s="1">
        <v>4242</v>
      </c>
      <c r="E174" s="1">
        <v>2907</v>
      </c>
      <c r="F174" s="1">
        <v>3550</v>
      </c>
      <c r="G174" s="1">
        <v>5194</v>
      </c>
      <c r="H174" s="1">
        <v>5404</v>
      </c>
      <c r="I174" s="1">
        <v>5834</v>
      </c>
      <c r="J174" s="1">
        <v>6298</v>
      </c>
      <c r="K174" s="1">
        <v>7382</v>
      </c>
      <c r="L174" s="1">
        <v>7302</v>
      </c>
      <c r="M174" s="1">
        <v>7826</v>
      </c>
      <c r="N174" s="1">
        <v>8149</v>
      </c>
      <c r="O174" s="1">
        <v>8518</v>
      </c>
      <c r="P174" s="1">
        <v>8550</v>
      </c>
      <c r="Q174" s="1">
        <v>9787</v>
      </c>
      <c r="R174" s="1">
        <v>10716</v>
      </c>
      <c r="S174" s="1">
        <v>11553</v>
      </c>
      <c r="T174" s="1">
        <v>12351</v>
      </c>
      <c r="U174" s="1">
        <v>14245</v>
      </c>
      <c r="V174" s="1">
        <v>15127</v>
      </c>
      <c r="W174" s="1">
        <v>16592</v>
      </c>
      <c r="X174" s="1">
        <v>18544</v>
      </c>
      <c r="Y174" s="1">
        <v>19050</v>
      </c>
      <c r="Z174" s="1">
        <v>19143</v>
      </c>
      <c r="AA174" s="1">
        <v>20007</v>
      </c>
      <c r="AB174" s="1">
        <v>19236</v>
      </c>
      <c r="AC174" s="1">
        <v>20238</v>
      </c>
      <c r="AD174" s="1">
        <v>22352</v>
      </c>
      <c r="AE174" s="1">
        <v>24423</v>
      </c>
      <c r="AF174" s="1">
        <v>28880</v>
      </c>
      <c r="AG174" s="1">
        <v>33447</v>
      </c>
      <c r="AH174" s="1">
        <v>38270</v>
      </c>
      <c r="AI174" s="1">
        <v>48177</v>
      </c>
      <c r="AJ174" s="1">
        <v>49750</v>
      </c>
      <c r="AK174" s="1">
        <v>58643</v>
      </c>
      <c r="AL174" s="1">
        <v>67725</v>
      </c>
      <c r="AM174" s="1">
        <v>70392</v>
      </c>
      <c r="AN174" s="1">
        <v>76934</v>
      </c>
      <c r="AO174" s="1">
        <v>82483</v>
      </c>
      <c r="AP174" s="1">
        <v>85091</v>
      </c>
      <c r="AQ174" s="1">
        <v>88000</v>
      </c>
      <c r="AR174" s="1">
        <v>94376</v>
      </c>
      <c r="AS174" s="1">
        <v>94484</v>
      </c>
      <c r="AT174" s="1">
        <v>89015</v>
      </c>
      <c r="AU174" s="1">
        <v>84304</v>
      </c>
      <c r="AV174" s="1">
        <v>88609</v>
      </c>
      <c r="AW174" s="1">
        <v>74584</v>
      </c>
      <c r="AX174" s="1">
        <v>83723</v>
      </c>
      <c r="AY174" s="1">
        <v>98964</v>
      </c>
      <c r="AZ174" s="1"/>
    </row>
    <row r="175" spans="1:52" x14ac:dyDescent="0.3">
      <c r="A175" t="s">
        <v>174</v>
      </c>
      <c r="B175" s="1">
        <v>3242</v>
      </c>
      <c r="C175" s="1">
        <v>4043</v>
      </c>
      <c r="D175" s="1">
        <v>4751</v>
      </c>
      <c r="E175" s="1">
        <v>5112</v>
      </c>
      <c r="F175" s="1">
        <v>5646</v>
      </c>
      <c r="G175" s="1">
        <v>9095</v>
      </c>
      <c r="H175" s="1">
        <v>6530</v>
      </c>
      <c r="I175" s="1">
        <v>4748</v>
      </c>
      <c r="J175" s="1">
        <v>6485</v>
      </c>
      <c r="K175" s="1">
        <v>7992</v>
      </c>
      <c r="L175" s="1">
        <v>5547</v>
      </c>
      <c r="M175" s="1">
        <v>7400</v>
      </c>
      <c r="N175" s="1">
        <v>11964</v>
      </c>
      <c r="O175" s="1">
        <v>9551</v>
      </c>
      <c r="P175" s="1">
        <v>16853</v>
      </c>
      <c r="Q175" s="1">
        <v>2245</v>
      </c>
      <c r="R175" s="1">
        <v>2528</v>
      </c>
      <c r="S175" s="1">
        <v>3100</v>
      </c>
      <c r="T175" s="1">
        <v>5246</v>
      </c>
      <c r="U175" s="1">
        <v>5961</v>
      </c>
      <c r="V175" s="1">
        <v>6694</v>
      </c>
      <c r="W175" s="1">
        <v>8377</v>
      </c>
      <c r="X175" s="1">
        <v>10241</v>
      </c>
      <c r="Y175" s="1">
        <v>10924</v>
      </c>
      <c r="Z175" s="1">
        <v>10714</v>
      </c>
      <c r="AA175" s="1">
        <v>13134</v>
      </c>
      <c r="AB175" s="1">
        <v>15716</v>
      </c>
      <c r="AC175" s="1">
        <v>18137</v>
      </c>
      <c r="AD175" s="1">
        <v>21355</v>
      </c>
      <c r="AE175" s="1">
        <v>26646</v>
      </c>
      <c r="AF175" s="1">
        <v>35183</v>
      </c>
      <c r="AG175" s="1">
        <v>45264</v>
      </c>
      <c r="AH175" s="1">
        <v>59440</v>
      </c>
      <c r="AI175" s="1">
        <v>64833</v>
      </c>
      <c r="AJ175" s="1">
        <v>54812</v>
      </c>
      <c r="AK175" s="1">
        <v>65716</v>
      </c>
      <c r="AL175" s="1">
        <v>66448</v>
      </c>
      <c r="AM175" s="1">
        <v>48948</v>
      </c>
      <c r="AN175" s="1">
        <v>52892</v>
      </c>
      <c r="AO175" s="1">
        <v>60726</v>
      </c>
      <c r="AP175" s="1">
        <v>64534</v>
      </c>
      <c r="AQ175" s="1">
        <v>64888</v>
      </c>
      <c r="AR175" s="1">
        <v>48906</v>
      </c>
      <c r="AS175" s="1">
        <v>33590</v>
      </c>
      <c r="AT175" s="1">
        <v>31484</v>
      </c>
      <c r="AU175" s="1">
        <v>35237</v>
      </c>
      <c r="AV175" s="1">
        <v>35142</v>
      </c>
      <c r="AW175" s="1">
        <v>33517</v>
      </c>
      <c r="AX175" s="1">
        <v>36998</v>
      </c>
      <c r="AY175" s="1">
        <v>28270</v>
      </c>
      <c r="AZ175" s="1">
        <v>31506</v>
      </c>
    </row>
    <row r="176" spans="1:52" x14ac:dyDescent="0.3">
      <c r="A176" t="s">
        <v>175</v>
      </c>
      <c r="B176" s="1">
        <v>638</v>
      </c>
      <c r="C176" s="1">
        <v>693</v>
      </c>
      <c r="D176" s="1">
        <v>879</v>
      </c>
      <c r="E176" s="1">
        <v>1008</v>
      </c>
      <c r="F176" s="1">
        <v>1072</v>
      </c>
      <c r="G176" s="1">
        <v>1276</v>
      </c>
      <c r="H176" s="1">
        <v>1427</v>
      </c>
      <c r="I176" s="1">
        <v>1469</v>
      </c>
      <c r="J176" s="1">
        <v>1419</v>
      </c>
      <c r="K176" s="1">
        <v>1387</v>
      </c>
      <c r="L176" s="1">
        <v>1402</v>
      </c>
      <c r="M176" s="1">
        <v>1430</v>
      </c>
      <c r="N176" s="1">
        <v>1573</v>
      </c>
      <c r="O176" s="1">
        <v>1864</v>
      </c>
      <c r="P176" s="1">
        <v>2177</v>
      </c>
      <c r="Q176" s="1">
        <v>577</v>
      </c>
      <c r="R176" s="1">
        <v>637</v>
      </c>
      <c r="S176" s="1">
        <v>590</v>
      </c>
      <c r="T176" s="1">
        <v>465</v>
      </c>
      <c r="U176" s="1">
        <v>523</v>
      </c>
      <c r="V176" s="1">
        <v>993</v>
      </c>
      <c r="W176" s="1">
        <v>1234</v>
      </c>
      <c r="X176" s="1">
        <v>1322</v>
      </c>
      <c r="Y176" s="1">
        <v>1588</v>
      </c>
      <c r="Z176" s="1">
        <v>1308</v>
      </c>
      <c r="AA176" s="1">
        <v>1355</v>
      </c>
      <c r="AB176" s="1">
        <v>1167</v>
      </c>
      <c r="AC176" s="1">
        <v>1474</v>
      </c>
      <c r="AD176" s="1">
        <v>1729</v>
      </c>
      <c r="AE176" s="1">
        <v>2000</v>
      </c>
      <c r="AF176" s="1">
        <v>2393</v>
      </c>
      <c r="AG176" s="1">
        <v>2812</v>
      </c>
      <c r="AH176" s="1">
        <v>3144</v>
      </c>
      <c r="AI176" s="1">
        <v>3783</v>
      </c>
      <c r="AJ176" s="1">
        <v>4150</v>
      </c>
      <c r="AK176" s="1">
        <v>4677</v>
      </c>
      <c r="AL176" s="1">
        <v>4735</v>
      </c>
      <c r="AM176" s="1">
        <v>5332</v>
      </c>
      <c r="AN176" s="1">
        <v>5510</v>
      </c>
      <c r="AO176" s="1">
        <v>5612</v>
      </c>
      <c r="AP176" s="1">
        <v>5126</v>
      </c>
      <c r="AQ176" s="1">
        <v>3317</v>
      </c>
      <c r="AR176" s="1">
        <v>3592</v>
      </c>
      <c r="AS176" s="1">
        <v>3996</v>
      </c>
      <c r="AT176" s="1">
        <v>4016</v>
      </c>
      <c r="AU176" s="1">
        <v>2912</v>
      </c>
      <c r="AV176" s="1">
        <v>3084</v>
      </c>
      <c r="AW176" s="1">
        <v>3631</v>
      </c>
      <c r="AX176" s="1">
        <v>3445</v>
      </c>
      <c r="AY176" s="1">
        <v>4458</v>
      </c>
      <c r="AZ176" s="1">
        <v>4506</v>
      </c>
    </row>
    <row r="177" spans="1:52" x14ac:dyDescent="0.3">
      <c r="A177" t="s">
        <v>176</v>
      </c>
      <c r="B177" s="1">
        <v>77036</v>
      </c>
      <c r="C177" s="1">
        <v>83056</v>
      </c>
      <c r="D177" s="1">
        <v>87801</v>
      </c>
      <c r="E177" s="1">
        <v>97072</v>
      </c>
      <c r="F177" s="1">
        <v>114679</v>
      </c>
      <c r="G177" s="1">
        <v>139571</v>
      </c>
      <c r="H177" s="1">
        <v>127406</v>
      </c>
      <c r="I177" s="1">
        <v>112404</v>
      </c>
      <c r="J177" s="1">
        <v>103289</v>
      </c>
      <c r="K177" s="1">
        <v>107628</v>
      </c>
      <c r="L177" s="1">
        <v>112593</v>
      </c>
      <c r="M177" s="1">
        <v>148766</v>
      </c>
      <c r="N177" s="1">
        <v>180937</v>
      </c>
      <c r="O177" s="1">
        <v>204691</v>
      </c>
      <c r="P177" s="1">
        <v>215436</v>
      </c>
      <c r="Q177" s="1">
        <v>258395</v>
      </c>
      <c r="R177" s="1">
        <v>270629</v>
      </c>
      <c r="S177" s="1">
        <v>281588</v>
      </c>
      <c r="T177" s="1">
        <v>212646</v>
      </c>
      <c r="U177" s="1">
        <v>228703</v>
      </c>
      <c r="V177" s="1">
        <v>267054</v>
      </c>
      <c r="W177" s="1">
        <v>291954</v>
      </c>
      <c r="X177" s="1">
        <v>268252</v>
      </c>
      <c r="Y177" s="1">
        <v>270891</v>
      </c>
      <c r="Z177" s="1">
        <v>274319</v>
      </c>
      <c r="AA177" s="1">
        <v>262904</v>
      </c>
      <c r="AB177" s="1">
        <v>242498</v>
      </c>
      <c r="AC177" s="1">
        <v>267373</v>
      </c>
      <c r="AD177" s="1">
        <v>334074</v>
      </c>
      <c r="AE177" s="1">
        <v>384548</v>
      </c>
      <c r="AF177" s="1">
        <v>391691</v>
      </c>
      <c r="AG177" s="1">
        <v>422528</v>
      </c>
      <c r="AH177" s="1">
        <v>490052</v>
      </c>
      <c r="AI177" s="1">
        <v>514617</v>
      </c>
      <c r="AJ177" s="1">
        <v>434313</v>
      </c>
      <c r="AK177" s="1">
        <v>492753</v>
      </c>
      <c r="AL177" s="1">
        <v>570541</v>
      </c>
      <c r="AM177" s="1">
        <v>549742</v>
      </c>
      <c r="AN177" s="1">
        <v>584128</v>
      </c>
      <c r="AO177" s="1">
        <v>577730</v>
      </c>
      <c r="AP177" s="1">
        <v>501698</v>
      </c>
      <c r="AQ177" s="1">
        <v>514218</v>
      </c>
      <c r="AR177" s="1">
        <v>536084</v>
      </c>
      <c r="AS177" s="1">
        <v>551312</v>
      </c>
      <c r="AT177" s="1">
        <v>532169</v>
      </c>
      <c r="AU177" s="1">
        <v>545148</v>
      </c>
      <c r="AV177" s="1">
        <v>637187</v>
      </c>
      <c r="AW177" s="1">
        <v>579896</v>
      </c>
      <c r="AX177" s="1">
        <v>585490</v>
      </c>
      <c r="AY177" s="1">
        <v>610118</v>
      </c>
      <c r="AZ177" s="1">
        <v>620297</v>
      </c>
    </row>
    <row r="178" spans="1:52" x14ac:dyDescent="0.3">
      <c r="A178" t="s">
        <v>177</v>
      </c>
      <c r="B178" s="1">
        <v>60111</v>
      </c>
      <c r="C178" s="1">
        <v>62874</v>
      </c>
      <c r="D178" s="1">
        <v>67152</v>
      </c>
      <c r="E178" s="1">
        <v>93912</v>
      </c>
      <c r="F178" s="1">
        <v>105563</v>
      </c>
      <c r="G178" s="1">
        <v>122466</v>
      </c>
      <c r="H178" s="1">
        <v>112129</v>
      </c>
      <c r="I178" s="1">
        <v>114891</v>
      </c>
      <c r="J178" s="1">
        <v>114517</v>
      </c>
      <c r="K178" s="1">
        <v>109400</v>
      </c>
      <c r="L178" s="1">
        <v>110965</v>
      </c>
      <c r="M178" s="1">
        <v>159074</v>
      </c>
      <c r="N178" s="1">
        <v>199086</v>
      </c>
      <c r="O178" s="1">
        <v>215360</v>
      </c>
      <c r="P178" s="1">
        <v>208135</v>
      </c>
      <c r="Q178" s="1">
        <v>265911</v>
      </c>
      <c r="R178" s="1">
        <v>269003</v>
      </c>
      <c r="S178" s="1">
        <v>279764</v>
      </c>
      <c r="T178" s="1">
        <v>272006</v>
      </c>
      <c r="U178" s="1">
        <v>301246</v>
      </c>
      <c r="V178" s="1">
        <v>353094</v>
      </c>
      <c r="W178" s="1">
        <v>340241</v>
      </c>
      <c r="X178" s="1">
        <v>294824</v>
      </c>
      <c r="Y178" s="1">
        <v>303238</v>
      </c>
      <c r="Z178" s="1">
        <v>297581</v>
      </c>
      <c r="AA178" s="1">
        <v>279305</v>
      </c>
      <c r="AB178" s="1">
        <v>286780</v>
      </c>
      <c r="AC178" s="1">
        <v>309579</v>
      </c>
      <c r="AD178" s="1">
        <v>362132</v>
      </c>
      <c r="AE178" s="1">
        <v>403461</v>
      </c>
      <c r="AF178" s="1">
        <v>418265</v>
      </c>
      <c r="AG178" s="1">
        <v>441898</v>
      </c>
      <c r="AH178" s="1">
        <v>491075</v>
      </c>
      <c r="AI178" s="1">
        <v>566938</v>
      </c>
      <c r="AJ178" s="1">
        <v>553873</v>
      </c>
      <c r="AK178" s="1">
        <v>598339</v>
      </c>
      <c r="AL178" s="1">
        <v>715864</v>
      </c>
      <c r="AM178" s="1">
        <v>686553</v>
      </c>
      <c r="AN178" s="1">
        <v>706748</v>
      </c>
      <c r="AO178" s="1">
        <v>726634</v>
      </c>
      <c r="AP178" s="1">
        <v>693805</v>
      </c>
      <c r="AQ178" s="1">
        <v>687771</v>
      </c>
      <c r="AR178" s="1">
        <v>695544</v>
      </c>
      <c r="AS178" s="1">
        <v>725910</v>
      </c>
      <c r="AT178" s="1">
        <v>721867</v>
      </c>
      <c r="AU178" s="1">
        <v>741288</v>
      </c>
      <c r="AV178" s="1">
        <v>814699</v>
      </c>
      <c r="AW178" s="1">
        <v>828522</v>
      </c>
      <c r="AX178" s="1">
        <v>894867</v>
      </c>
      <c r="AY178" s="1">
        <v>936738</v>
      </c>
      <c r="AZ178" s="1">
        <v>947125</v>
      </c>
    </row>
    <row r="179" spans="1:52" x14ac:dyDescent="0.3">
      <c r="A179" t="s">
        <v>178</v>
      </c>
      <c r="B179" s="1">
        <v>5311</v>
      </c>
      <c r="C179" s="1">
        <v>6388</v>
      </c>
      <c r="D179" s="1">
        <v>6991</v>
      </c>
      <c r="E179" s="1">
        <v>8384</v>
      </c>
      <c r="F179" s="1">
        <v>10077</v>
      </c>
      <c r="G179" s="1">
        <v>12980</v>
      </c>
      <c r="H179" s="1">
        <v>16652</v>
      </c>
      <c r="I179" s="1">
        <v>17415</v>
      </c>
      <c r="J179" s="1">
        <v>18649</v>
      </c>
      <c r="K179" s="1">
        <v>19171</v>
      </c>
      <c r="L179" s="1">
        <v>21177</v>
      </c>
      <c r="M179" s="1">
        <v>25428</v>
      </c>
      <c r="N179" s="1">
        <v>32497</v>
      </c>
      <c r="O179" s="1">
        <v>16538</v>
      </c>
      <c r="P179" s="1">
        <v>9849</v>
      </c>
      <c r="Q179" s="1">
        <v>12303</v>
      </c>
      <c r="R179" s="1">
        <v>12738</v>
      </c>
      <c r="S179" s="1">
        <v>13263</v>
      </c>
      <c r="T179" s="1">
        <v>13796</v>
      </c>
      <c r="U179" s="1">
        <v>15105</v>
      </c>
      <c r="V179" s="1">
        <v>16556</v>
      </c>
      <c r="W179" s="1">
        <v>17761</v>
      </c>
      <c r="X179" s="1">
        <v>16573</v>
      </c>
      <c r="Y179" s="1">
        <v>16144</v>
      </c>
      <c r="Z179" s="1">
        <v>16785</v>
      </c>
      <c r="AA179" s="1">
        <v>19861</v>
      </c>
      <c r="AB179" s="1">
        <v>20979</v>
      </c>
      <c r="AC179" s="1">
        <v>22758</v>
      </c>
      <c r="AD179" s="1">
        <v>21702</v>
      </c>
      <c r="AE179" s="1">
        <v>25204</v>
      </c>
      <c r="AF179" s="1">
        <v>28881</v>
      </c>
      <c r="AG179" s="1">
        <v>33824</v>
      </c>
      <c r="AH179" s="1">
        <v>40488</v>
      </c>
      <c r="AI179" s="1">
        <v>52631</v>
      </c>
      <c r="AJ179" s="1">
        <v>53939</v>
      </c>
      <c r="AK179" s="1">
        <v>60043</v>
      </c>
      <c r="AL179" s="1"/>
      <c r="AM179" s="1"/>
      <c r="AN179" s="1"/>
      <c r="AO179" s="1"/>
      <c r="AP179" s="1"/>
      <c r="AQ179" s="1"/>
      <c r="AR179" s="1"/>
      <c r="AS179" s="1"/>
      <c r="AT179" s="1"/>
      <c r="AU179" s="1">
        <v>60043</v>
      </c>
      <c r="AV179" s="1"/>
      <c r="AW179" s="1"/>
      <c r="AX179" s="1"/>
      <c r="AY179" s="1"/>
      <c r="AZ179" s="1"/>
    </row>
    <row r="180" spans="1:52" x14ac:dyDescent="0.3">
      <c r="A180" t="s">
        <v>179</v>
      </c>
      <c r="B180" s="1">
        <v>61</v>
      </c>
      <c r="C180" s="1">
        <v>52</v>
      </c>
      <c r="D180" s="1">
        <v>50</v>
      </c>
      <c r="E180" s="1">
        <v>55</v>
      </c>
      <c r="F180" s="1">
        <v>66</v>
      </c>
      <c r="G180" s="1">
        <v>69</v>
      </c>
      <c r="H180" s="1">
        <v>84</v>
      </c>
      <c r="I180" s="1">
        <v>81</v>
      </c>
      <c r="J180" s="1">
        <v>76</v>
      </c>
      <c r="K180" s="1">
        <v>79</v>
      </c>
      <c r="L180" s="1">
        <v>83</v>
      </c>
      <c r="M180" s="1">
        <v>117</v>
      </c>
      <c r="N180" s="1">
        <v>117</v>
      </c>
      <c r="O180" s="1">
        <v>100</v>
      </c>
      <c r="P180" s="1">
        <v>99</v>
      </c>
      <c r="Q180" s="1">
        <v>120</v>
      </c>
      <c r="R180" s="1">
        <v>108</v>
      </c>
      <c r="S180" s="1">
        <v>96</v>
      </c>
      <c r="T180" s="1">
        <v>127</v>
      </c>
      <c r="U180" s="1">
        <v>132</v>
      </c>
      <c r="V180" s="1">
        <v>104</v>
      </c>
      <c r="W180" s="1">
        <v>136</v>
      </c>
      <c r="X180" s="1">
        <v>93</v>
      </c>
      <c r="Y180" s="1">
        <v>73</v>
      </c>
      <c r="Z180" s="1">
        <v>78</v>
      </c>
      <c r="AA180" s="1">
        <v>77</v>
      </c>
      <c r="AB180" s="1">
        <v>72</v>
      </c>
      <c r="AC180" s="1">
        <v>80</v>
      </c>
      <c r="AD180" s="1">
        <v>96</v>
      </c>
      <c r="AE180" s="1">
        <v>104</v>
      </c>
      <c r="AF180" s="1">
        <v>125</v>
      </c>
      <c r="AG180" s="1">
        <v>133</v>
      </c>
      <c r="AH180" s="1">
        <v>145</v>
      </c>
      <c r="AI180" s="1">
        <v>188</v>
      </c>
      <c r="AJ180" s="1">
        <v>201</v>
      </c>
      <c r="AK180" s="1">
        <v>191</v>
      </c>
      <c r="AL180" s="1">
        <v>228</v>
      </c>
      <c r="AM180" s="1">
        <v>231</v>
      </c>
      <c r="AN180" s="1">
        <v>269</v>
      </c>
      <c r="AO180" s="1">
        <v>295</v>
      </c>
      <c r="AP180" s="1">
        <v>262</v>
      </c>
      <c r="AQ180" s="1">
        <v>294</v>
      </c>
      <c r="AR180" s="1">
        <v>325</v>
      </c>
      <c r="AS180" s="1">
        <v>387</v>
      </c>
      <c r="AT180" s="1">
        <v>416</v>
      </c>
      <c r="AU180" s="1">
        <v>476</v>
      </c>
      <c r="AV180" s="1">
        <v>529</v>
      </c>
      <c r="AW180" s="1">
        <v>546</v>
      </c>
      <c r="AX180" s="1">
        <v>684</v>
      </c>
      <c r="AY180" s="1">
        <v>796</v>
      </c>
      <c r="AZ180" s="1">
        <v>864</v>
      </c>
    </row>
    <row r="181" spans="1:52" x14ac:dyDescent="0.3">
      <c r="A181" t="s">
        <v>180</v>
      </c>
      <c r="B181" s="1"/>
      <c r="C181" s="1"/>
      <c r="D181" s="1"/>
      <c r="E181" s="1"/>
      <c r="F181" s="1"/>
      <c r="G181" s="1">
        <v>42285</v>
      </c>
      <c r="H181" s="1">
        <v>48969</v>
      </c>
      <c r="I181" s="1">
        <v>49535</v>
      </c>
      <c r="J181" s="1">
        <v>54148</v>
      </c>
      <c r="K181" s="1">
        <v>61071</v>
      </c>
      <c r="L181" s="1">
        <v>63617</v>
      </c>
      <c r="M181" s="1">
        <v>78195</v>
      </c>
      <c r="N181" s="1">
        <v>105039</v>
      </c>
      <c r="O181" s="1">
        <v>126473</v>
      </c>
      <c r="P181" s="1">
        <v>152704</v>
      </c>
      <c r="Q181" s="1">
        <v>166622</v>
      </c>
      <c r="R181" s="1">
        <v>187140</v>
      </c>
      <c r="S181" s="1">
        <v>222911</v>
      </c>
      <c r="T181" s="1">
        <v>236339</v>
      </c>
      <c r="U181" s="1">
        <v>256247</v>
      </c>
      <c r="V181" s="1">
        <v>279059</v>
      </c>
      <c r="W181" s="1">
        <v>292494</v>
      </c>
      <c r="X181" s="1">
        <v>303284</v>
      </c>
      <c r="Y181" s="1">
        <v>279964</v>
      </c>
      <c r="Z181" s="1">
        <v>303830</v>
      </c>
      <c r="AA181" s="1">
        <v>330680</v>
      </c>
      <c r="AB181" s="1">
        <v>299276</v>
      </c>
      <c r="AC181" s="1">
        <v>307439</v>
      </c>
      <c r="AD181" s="1">
        <v>317381</v>
      </c>
      <c r="AE181" s="1">
        <v>346924</v>
      </c>
      <c r="AF181" s="1">
        <v>374060</v>
      </c>
      <c r="AG181" s="1">
        <v>386450</v>
      </c>
      <c r="AH181" s="1">
        <v>406907</v>
      </c>
      <c r="AI181" s="1">
        <v>415901</v>
      </c>
      <c r="AJ181" s="1">
        <v>390829</v>
      </c>
      <c r="AK181" s="1">
        <v>444281</v>
      </c>
      <c r="AL181" s="1">
        <v>483974</v>
      </c>
      <c r="AM181" s="1">
        <v>495610</v>
      </c>
      <c r="AN181" s="1">
        <v>512943</v>
      </c>
      <c r="AO181" s="1">
        <v>535328</v>
      </c>
      <c r="AP181" s="1">
        <v>534515</v>
      </c>
      <c r="AQ181" s="1">
        <v>543081</v>
      </c>
      <c r="AR181" s="1">
        <v>591687</v>
      </c>
      <c r="AS181" s="1">
        <v>610690</v>
      </c>
      <c r="AT181" s="1">
        <v>613512</v>
      </c>
      <c r="AU181" s="1">
        <v>676861</v>
      </c>
      <c r="AV181" s="1">
        <v>776965</v>
      </c>
      <c r="AW181" s="1">
        <v>765624</v>
      </c>
      <c r="AX181" s="1">
        <v>757335</v>
      </c>
      <c r="AY181" s="1">
        <v>782441</v>
      </c>
      <c r="AZ181" s="1">
        <v>804889</v>
      </c>
    </row>
    <row r="182" spans="1:52" x14ac:dyDescent="0.3">
      <c r="A182" t="s">
        <v>181</v>
      </c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>
        <v>291</v>
      </c>
      <c r="T182" s="1">
        <v>678</v>
      </c>
      <c r="U182" s="1">
        <v>829</v>
      </c>
      <c r="V182" s="1">
        <v>569</v>
      </c>
      <c r="W182" s="1">
        <v>1052</v>
      </c>
      <c r="X182" s="1">
        <v>1121</v>
      </c>
      <c r="Y182" s="1">
        <v>1320</v>
      </c>
      <c r="Z182" s="1">
        <v>1087</v>
      </c>
      <c r="AA182" s="1">
        <v>991</v>
      </c>
      <c r="AB182" s="1">
        <v>1057</v>
      </c>
      <c r="AC182" s="1">
        <v>1212</v>
      </c>
      <c r="AD182" s="1">
        <v>1555</v>
      </c>
      <c r="AE182" s="1">
        <v>2073</v>
      </c>
      <c r="AF182" s="1">
        <v>2311</v>
      </c>
      <c r="AG182" s="1">
        <v>2811</v>
      </c>
      <c r="AH182" s="1">
        <v>3712</v>
      </c>
      <c r="AI182" s="1">
        <v>5135</v>
      </c>
      <c r="AJ182" s="1">
        <v>4977</v>
      </c>
      <c r="AK182" s="1">
        <v>5642</v>
      </c>
      <c r="AL182" s="1">
        <v>6523</v>
      </c>
      <c r="AM182" s="1">
        <v>7592</v>
      </c>
      <c r="AN182" s="1">
        <v>8506</v>
      </c>
      <c r="AO182" s="1">
        <v>9242</v>
      </c>
      <c r="AP182" s="1">
        <v>7857</v>
      </c>
      <c r="AQ182" s="1">
        <v>6994</v>
      </c>
      <c r="AR182" s="1">
        <v>7535</v>
      </c>
      <c r="AS182" s="1">
        <v>7762</v>
      </c>
      <c r="AT182" s="1">
        <v>8301</v>
      </c>
      <c r="AU182" s="1">
        <v>8134</v>
      </c>
      <c r="AV182" s="1">
        <v>8934</v>
      </c>
      <c r="AW182" s="1">
        <v>10493</v>
      </c>
      <c r="AX182" s="1">
        <v>11854</v>
      </c>
      <c r="AY182" s="1">
        <v>13544</v>
      </c>
      <c r="AZ182" s="1">
        <v>14836</v>
      </c>
    </row>
    <row r="183" spans="1:52" x14ac:dyDescent="0.3">
      <c r="A183" t="s">
        <v>182</v>
      </c>
      <c r="B183" s="1">
        <v>3829</v>
      </c>
      <c r="C183" s="1">
        <v>4147</v>
      </c>
      <c r="D183" s="1">
        <v>4955</v>
      </c>
      <c r="E183" s="1">
        <v>5934</v>
      </c>
      <c r="F183" s="1">
        <v>6282</v>
      </c>
      <c r="G183" s="1">
        <v>10873</v>
      </c>
      <c r="H183" s="1">
        <v>13005</v>
      </c>
      <c r="I183" s="1">
        <v>14932</v>
      </c>
      <c r="J183" s="1">
        <v>15294</v>
      </c>
      <c r="K183" s="1">
        <v>13915</v>
      </c>
      <c r="L183" s="1">
        <v>12556</v>
      </c>
      <c r="M183" s="1">
        <v>15874</v>
      </c>
      <c r="N183" s="1">
        <v>7821</v>
      </c>
      <c r="O183" s="1">
        <v>7474</v>
      </c>
      <c r="P183" s="1">
        <v>6444</v>
      </c>
      <c r="Q183" s="1">
        <v>5172</v>
      </c>
      <c r="R183" s="1">
        <v>6019</v>
      </c>
      <c r="S183" s="1">
        <v>5588</v>
      </c>
      <c r="T183" s="1">
        <v>5170</v>
      </c>
      <c r="U183" s="1">
        <v>5478</v>
      </c>
      <c r="V183" s="1">
        <v>6382</v>
      </c>
      <c r="W183" s="1">
        <v>7889</v>
      </c>
      <c r="X183" s="1">
        <v>9341</v>
      </c>
      <c r="Y183" s="1">
        <v>11481</v>
      </c>
      <c r="Z183" s="1">
        <v>11777</v>
      </c>
      <c r="AA183" s="1">
        <v>12369</v>
      </c>
      <c r="AB183" s="1">
        <v>12610</v>
      </c>
      <c r="AC183" s="1">
        <v>13123</v>
      </c>
      <c r="AD183" s="1">
        <v>14159</v>
      </c>
      <c r="AE183" s="1">
        <v>15576</v>
      </c>
      <c r="AF183" s="1">
        <v>17174</v>
      </c>
      <c r="AG183" s="1">
        <v>18878</v>
      </c>
      <c r="AH183" s="1">
        <v>21810</v>
      </c>
      <c r="AI183" s="1">
        <v>27779</v>
      </c>
      <c r="AJ183" s="1">
        <v>29301</v>
      </c>
      <c r="AK183" s="1">
        <v>31860</v>
      </c>
      <c r="AL183" s="1">
        <v>34369</v>
      </c>
      <c r="AM183" s="1">
        <v>39650</v>
      </c>
      <c r="AN183" s="1">
        <v>45677</v>
      </c>
      <c r="AO183" s="1">
        <v>49982</v>
      </c>
      <c r="AP183" s="1">
        <v>47424</v>
      </c>
      <c r="AQ183" s="1">
        <v>49774</v>
      </c>
      <c r="AR183" s="1">
        <v>54000</v>
      </c>
      <c r="AS183" s="1">
        <v>54775</v>
      </c>
      <c r="AT183" s="1">
        <v>58797</v>
      </c>
      <c r="AU183" s="1">
        <v>63373</v>
      </c>
      <c r="AV183" s="1">
        <v>67964</v>
      </c>
      <c r="AW183" s="1">
        <v>74173</v>
      </c>
      <c r="AX183" s="1">
        <v>79138</v>
      </c>
      <c r="AY183" s="1">
        <v>80171</v>
      </c>
      <c r="AZ183" s="1">
        <v>85977</v>
      </c>
    </row>
    <row r="184" spans="1:52" x14ac:dyDescent="0.3">
      <c r="A184" t="s">
        <v>183</v>
      </c>
      <c r="B184" s="1">
        <v>15489</v>
      </c>
      <c r="C184" s="1">
        <v>17677</v>
      </c>
      <c r="D184" s="1">
        <v>20585</v>
      </c>
      <c r="E184" s="1">
        <v>24984</v>
      </c>
      <c r="F184" s="1">
        <v>28483</v>
      </c>
      <c r="G184" s="1">
        <v>33422</v>
      </c>
      <c r="H184" s="1">
        <v>35999</v>
      </c>
      <c r="I184" s="1">
        <v>37799</v>
      </c>
      <c r="J184" s="1">
        <v>41366</v>
      </c>
      <c r="K184" s="1">
        <v>43179</v>
      </c>
      <c r="L184" s="1">
        <v>40185</v>
      </c>
      <c r="M184" s="1">
        <v>44520</v>
      </c>
      <c r="N184" s="1">
        <v>52204</v>
      </c>
      <c r="O184" s="1">
        <v>63704</v>
      </c>
      <c r="P184" s="1">
        <v>74637</v>
      </c>
      <c r="Q184" s="1">
        <v>88467</v>
      </c>
      <c r="R184" s="1">
        <v>101247</v>
      </c>
      <c r="S184" s="1">
        <v>115576</v>
      </c>
      <c r="T184" s="1">
        <v>128889</v>
      </c>
      <c r="U184" s="1">
        <v>146684</v>
      </c>
      <c r="V184" s="1">
        <v>169279</v>
      </c>
      <c r="W184" s="1">
        <v>183035</v>
      </c>
      <c r="X184" s="1">
        <v>150180</v>
      </c>
      <c r="Y184" s="1">
        <v>113676</v>
      </c>
      <c r="Z184" s="1">
        <v>126669</v>
      </c>
      <c r="AA184" s="1">
        <v>126392</v>
      </c>
      <c r="AB184" s="1">
        <v>120296</v>
      </c>
      <c r="AC184" s="1">
        <v>134301</v>
      </c>
      <c r="AD184" s="1">
        <v>152281</v>
      </c>
      <c r="AE184" s="1">
        <v>172896</v>
      </c>
      <c r="AF184" s="1">
        <v>189318</v>
      </c>
      <c r="AG184" s="1">
        <v>221758</v>
      </c>
      <c r="AH184" s="1">
        <v>262943</v>
      </c>
      <c r="AI184" s="1">
        <v>291383</v>
      </c>
      <c r="AJ184" s="1">
        <v>281711</v>
      </c>
      <c r="AK184" s="1">
        <v>341105</v>
      </c>
      <c r="AL184" s="1">
        <v>370819</v>
      </c>
      <c r="AM184" s="1">
        <v>397558</v>
      </c>
      <c r="AN184" s="1">
        <v>420334</v>
      </c>
      <c r="AO184" s="1">
        <v>407339</v>
      </c>
      <c r="AP184" s="1">
        <v>401296</v>
      </c>
      <c r="AQ184" s="1">
        <v>413366</v>
      </c>
      <c r="AR184" s="1">
        <v>456357</v>
      </c>
      <c r="AS184" s="1">
        <v>506754</v>
      </c>
      <c r="AT184" s="1">
        <v>543977</v>
      </c>
      <c r="AU184" s="1">
        <v>500462</v>
      </c>
      <c r="AV184" s="1">
        <v>506195</v>
      </c>
      <c r="AW184" s="1">
        <v>495645</v>
      </c>
      <c r="AX184" s="1">
        <v>515906</v>
      </c>
      <c r="AY184" s="1">
        <v>526411</v>
      </c>
      <c r="AZ184" s="1">
        <v>546224</v>
      </c>
    </row>
    <row r="185" spans="1:52" x14ac:dyDescent="0.3">
      <c r="A185" t="s">
        <v>184</v>
      </c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>
        <v>367</v>
      </c>
      <c r="AB185" s="1">
        <v>477</v>
      </c>
      <c r="AC185" s="1">
        <v>470</v>
      </c>
      <c r="AD185" s="1">
        <v>490</v>
      </c>
      <c r="AE185" s="1">
        <v>441</v>
      </c>
      <c r="AF185" s="1">
        <v>462</v>
      </c>
      <c r="AG185" s="1">
        <v>454</v>
      </c>
      <c r="AH185" s="1">
        <v>543</v>
      </c>
      <c r="AI185" s="1">
        <v>648</v>
      </c>
      <c r="AJ185" s="1">
        <v>727</v>
      </c>
      <c r="AK185" s="1">
        <v>882</v>
      </c>
      <c r="AL185" s="1">
        <v>1042</v>
      </c>
      <c r="AM185" s="1">
        <v>1160</v>
      </c>
      <c r="AN185" s="1">
        <v>1396</v>
      </c>
      <c r="AO185" s="1">
        <v>1448</v>
      </c>
      <c r="AP185" s="1">
        <v>1590</v>
      </c>
      <c r="AQ185" s="1">
        <v>1640</v>
      </c>
      <c r="AR185" s="1">
        <v>1585</v>
      </c>
      <c r="AS185" s="1">
        <v>1556</v>
      </c>
      <c r="AT185" s="1">
        <v>2033</v>
      </c>
      <c r="AU185" s="1">
        <v>2163</v>
      </c>
      <c r="AV185" s="1">
        <v>3625</v>
      </c>
      <c r="AW185" s="1">
        <v>3209</v>
      </c>
      <c r="AX185" s="1">
        <v>2080</v>
      </c>
      <c r="AY185" s="1">
        <v>2015</v>
      </c>
      <c r="AZ185" s="1">
        <v>2115</v>
      </c>
    </row>
    <row r="186" spans="1:52" x14ac:dyDescent="0.3">
      <c r="A186" t="s">
        <v>185</v>
      </c>
      <c r="B186" s="1">
        <v>599</v>
      </c>
      <c r="C186" s="1">
        <v>570</v>
      </c>
      <c r="D186" s="1">
        <v>687</v>
      </c>
      <c r="E186" s="1">
        <v>851</v>
      </c>
      <c r="F186" s="1">
        <v>1016</v>
      </c>
      <c r="G186" s="1">
        <v>1994</v>
      </c>
      <c r="H186" s="1">
        <v>1656</v>
      </c>
      <c r="I186" s="1">
        <v>1396</v>
      </c>
      <c r="J186" s="1">
        <v>1330</v>
      </c>
      <c r="K186" s="1">
        <v>1222</v>
      </c>
      <c r="L186" s="1">
        <v>1281</v>
      </c>
      <c r="M186" s="1">
        <v>1795</v>
      </c>
      <c r="N186" s="1">
        <v>2107</v>
      </c>
      <c r="O186" s="1">
        <v>2345</v>
      </c>
      <c r="P186" s="1">
        <v>2302</v>
      </c>
      <c r="Q186" s="1">
        <v>2772</v>
      </c>
      <c r="R186" s="1">
        <v>2740</v>
      </c>
      <c r="S186" s="1">
        <v>2873</v>
      </c>
      <c r="T186" s="1">
        <v>2189</v>
      </c>
      <c r="U186" s="1">
        <v>1697</v>
      </c>
      <c r="V186" s="1">
        <v>2240</v>
      </c>
      <c r="W186" s="1">
        <v>2448</v>
      </c>
      <c r="X186" s="1">
        <v>2494</v>
      </c>
      <c r="Y186" s="1">
        <v>2361</v>
      </c>
      <c r="Z186" s="1">
        <v>2370</v>
      </c>
      <c r="AA186" s="1">
        <v>2014</v>
      </c>
      <c r="AB186" s="1">
        <v>2000</v>
      </c>
      <c r="AC186" s="1">
        <v>2301</v>
      </c>
      <c r="AD186" s="1">
        <v>2854</v>
      </c>
      <c r="AE186" s="1">
        <v>3048</v>
      </c>
      <c r="AF186" s="1">
        <v>3080</v>
      </c>
      <c r="AG186" s="1">
        <v>3173</v>
      </c>
      <c r="AH186" s="1">
        <v>3760</v>
      </c>
      <c r="AI186" s="1">
        <v>4578</v>
      </c>
      <c r="AJ186" s="1">
        <v>4717</v>
      </c>
      <c r="AK186" s="1">
        <v>4750</v>
      </c>
      <c r="AL186" s="1">
        <v>5421</v>
      </c>
      <c r="AM186" s="1">
        <v>5417</v>
      </c>
      <c r="AN186" s="1">
        <v>6022</v>
      </c>
      <c r="AO186" s="1">
        <v>6395</v>
      </c>
      <c r="AP186" s="1">
        <v>5756</v>
      </c>
      <c r="AQ186" s="1">
        <v>6069</v>
      </c>
      <c r="AR186" s="1">
        <v>6385</v>
      </c>
      <c r="AS186" s="1">
        <v>7033</v>
      </c>
      <c r="AT186" s="1">
        <v>6993</v>
      </c>
      <c r="AU186" s="1">
        <v>7400</v>
      </c>
      <c r="AV186" s="1">
        <v>8338</v>
      </c>
      <c r="AW186" s="1">
        <v>8144</v>
      </c>
      <c r="AX186" s="1">
        <v>9081</v>
      </c>
      <c r="AY186" s="1">
        <v>9776</v>
      </c>
      <c r="AZ186" s="1">
        <v>10023</v>
      </c>
    </row>
    <row r="187" spans="1:52" x14ac:dyDescent="0.3">
      <c r="A187" t="s">
        <v>186</v>
      </c>
      <c r="B187" s="1">
        <v>43</v>
      </c>
      <c r="C187" s="1">
        <v>39</v>
      </c>
      <c r="D187" s="1">
        <v>45</v>
      </c>
      <c r="E187" s="1">
        <v>54</v>
      </c>
      <c r="F187" s="1">
        <v>58</v>
      </c>
      <c r="G187" s="1">
        <v>71</v>
      </c>
      <c r="H187" s="1">
        <v>79</v>
      </c>
      <c r="I187" s="1">
        <v>79</v>
      </c>
      <c r="J187" s="1">
        <v>77</v>
      </c>
      <c r="K187" s="1">
        <v>81</v>
      </c>
      <c r="L187" s="1">
        <v>76</v>
      </c>
      <c r="M187" s="1">
        <v>90</v>
      </c>
      <c r="N187" s="1">
        <v>98</v>
      </c>
      <c r="O187" s="1">
        <v>115</v>
      </c>
      <c r="P187" s="1">
        <v>139</v>
      </c>
      <c r="Q187" s="1">
        <v>144</v>
      </c>
      <c r="R187" s="1">
        <v>169</v>
      </c>
      <c r="S187" s="1">
        <v>178</v>
      </c>
      <c r="T187" s="1">
        <v>183</v>
      </c>
      <c r="U187" s="1">
        <v>189</v>
      </c>
      <c r="V187" s="1">
        <v>207</v>
      </c>
      <c r="W187" s="1">
        <v>218</v>
      </c>
      <c r="X187" s="1">
        <v>222</v>
      </c>
      <c r="Y187" s="1">
        <v>212</v>
      </c>
      <c r="Z187" s="1">
        <v>197</v>
      </c>
      <c r="AA187" s="1">
        <v>203</v>
      </c>
      <c r="AB187" s="1">
        <v>181</v>
      </c>
      <c r="AC187" s="1">
        <v>183</v>
      </c>
      <c r="AD187" s="1">
        <v>202</v>
      </c>
      <c r="AE187" s="1">
        <v>231</v>
      </c>
      <c r="AF187" s="1">
        <v>262</v>
      </c>
      <c r="AG187" s="1">
        <v>292</v>
      </c>
      <c r="AH187" s="1">
        <v>299</v>
      </c>
      <c r="AI187" s="1">
        <v>344</v>
      </c>
      <c r="AJ187" s="1">
        <v>312</v>
      </c>
      <c r="AK187" s="1">
        <v>367</v>
      </c>
      <c r="AL187" s="1">
        <v>415</v>
      </c>
      <c r="AM187" s="1">
        <v>427</v>
      </c>
      <c r="AN187" s="1">
        <v>452</v>
      </c>
      <c r="AO187" s="1">
        <v>441</v>
      </c>
      <c r="AP187" s="1">
        <v>438</v>
      </c>
      <c r="AQ187" s="1">
        <v>421</v>
      </c>
      <c r="AR187" s="1">
        <v>460</v>
      </c>
      <c r="AS187" s="1">
        <v>481</v>
      </c>
      <c r="AT187" s="1">
        <v>494</v>
      </c>
      <c r="AU187" s="1">
        <v>503</v>
      </c>
      <c r="AV187" s="1">
        <v>520</v>
      </c>
      <c r="AW187" s="1">
        <v>515</v>
      </c>
      <c r="AX187" s="1">
        <v>512</v>
      </c>
      <c r="AY187" s="1">
        <v>539</v>
      </c>
      <c r="AZ187" s="1">
        <v>568</v>
      </c>
    </row>
    <row r="188" spans="1:52" x14ac:dyDescent="0.3">
      <c r="A188" t="s">
        <v>187</v>
      </c>
      <c r="B188" s="1">
        <v>2443</v>
      </c>
      <c r="C188" s="1">
        <v>2501</v>
      </c>
      <c r="D188" s="1">
        <v>3139</v>
      </c>
      <c r="E188" s="1">
        <v>3563</v>
      </c>
      <c r="F188" s="1">
        <v>4603</v>
      </c>
      <c r="G188" s="1">
        <v>6343</v>
      </c>
      <c r="H188" s="1">
        <v>7113</v>
      </c>
      <c r="I188" s="1">
        <v>8280</v>
      </c>
      <c r="J188" s="1">
        <v>7898</v>
      </c>
      <c r="K188" s="1">
        <v>7891</v>
      </c>
      <c r="L188" s="1">
        <v>7503</v>
      </c>
      <c r="M188" s="1">
        <v>4877</v>
      </c>
      <c r="N188" s="1">
        <v>4880</v>
      </c>
      <c r="O188" s="1">
        <v>4574</v>
      </c>
      <c r="P188" s="1">
        <v>4397</v>
      </c>
      <c r="Q188" s="1">
        <v>5155</v>
      </c>
      <c r="R188" s="1">
        <v>5399</v>
      </c>
      <c r="S188" s="1">
        <v>5533</v>
      </c>
      <c r="T188" s="1">
        <v>4656</v>
      </c>
      <c r="U188" s="1">
        <v>5032</v>
      </c>
      <c r="V188" s="1">
        <v>5421</v>
      </c>
      <c r="W188" s="1">
        <v>5859</v>
      </c>
      <c r="X188" s="1">
        <v>5837</v>
      </c>
      <c r="Y188" s="1">
        <v>6148</v>
      </c>
      <c r="Z188" s="1">
        <v>6926</v>
      </c>
      <c r="AA188" s="1">
        <v>8295</v>
      </c>
      <c r="AB188" s="1">
        <v>8960</v>
      </c>
      <c r="AC188" s="1">
        <v>9148</v>
      </c>
      <c r="AD188" s="1">
        <v>11464</v>
      </c>
      <c r="AE188" s="1">
        <v>13472</v>
      </c>
      <c r="AF188" s="1">
        <v>16170</v>
      </c>
      <c r="AG188" s="1">
        <v>18600</v>
      </c>
      <c r="AH188" s="1">
        <v>21937</v>
      </c>
      <c r="AI188" s="1">
        <v>28193</v>
      </c>
      <c r="AJ188" s="1">
        <v>19520</v>
      </c>
      <c r="AK188" s="1">
        <v>22522</v>
      </c>
      <c r="AL188" s="1">
        <v>25789</v>
      </c>
      <c r="AM188" s="1">
        <v>27147</v>
      </c>
      <c r="AN188" s="1">
        <v>28561</v>
      </c>
      <c r="AO188" s="1">
        <v>29474</v>
      </c>
      <c r="AP188" s="1">
        <v>26841</v>
      </c>
      <c r="AQ188" s="1">
        <v>23624</v>
      </c>
      <c r="AR188" s="1">
        <v>23848</v>
      </c>
      <c r="AS188" s="1">
        <v>23889</v>
      </c>
      <c r="AT188" s="1">
        <v>23588</v>
      </c>
      <c r="AU188" s="1">
        <v>20991</v>
      </c>
      <c r="AV188" s="1">
        <v>24177</v>
      </c>
      <c r="AW188" s="1">
        <v>28510</v>
      </c>
      <c r="AX188" s="1">
        <v>25489</v>
      </c>
      <c r="AY188" s="1">
        <v>25524</v>
      </c>
      <c r="AZ188" s="1">
        <v>26467</v>
      </c>
    </row>
    <row r="189" spans="1:52" x14ac:dyDescent="0.3">
      <c r="A189" t="s">
        <v>188</v>
      </c>
      <c r="B189" s="1">
        <v>4775</v>
      </c>
      <c r="C189" s="1">
        <v>4973</v>
      </c>
      <c r="D189" s="1">
        <v>5637</v>
      </c>
      <c r="E189" s="1">
        <v>6584</v>
      </c>
      <c r="F189" s="1">
        <v>7930</v>
      </c>
      <c r="G189" s="1">
        <v>9566</v>
      </c>
      <c r="H189" s="1">
        <v>9223</v>
      </c>
      <c r="I189" s="1">
        <v>8900</v>
      </c>
      <c r="J189" s="1">
        <v>9202</v>
      </c>
      <c r="K189" s="1">
        <v>9054</v>
      </c>
      <c r="L189" s="1">
        <v>9245</v>
      </c>
      <c r="M189" s="1">
        <v>9910</v>
      </c>
      <c r="N189" s="1">
        <v>10663</v>
      </c>
      <c r="O189" s="1">
        <v>11073</v>
      </c>
      <c r="P189" s="1">
        <v>11069</v>
      </c>
      <c r="Q189" s="1">
        <v>14133</v>
      </c>
      <c r="R189" s="1">
        <v>14897</v>
      </c>
      <c r="S189" s="1">
        <v>17809</v>
      </c>
      <c r="T189" s="1">
        <v>16724</v>
      </c>
      <c r="U189" s="1">
        <v>17886</v>
      </c>
      <c r="V189" s="1">
        <v>20616</v>
      </c>
      <c r="W189" s="1">
        <v>22324</v>
      </c>
      <c r="X189" s="1">
        <v>21762</v>
      </c>
      <c r="Y189" s="1">
        <v>22870</v>
      </c>
      <c r="Z189" s="1">
        <v>24066</v>
      </c>
      <c r="AA189" s="1">
        <v>22524</v>
      </c>
      <c r="AB189" s="1">
        <v>23146</v>
      </c>
      <c r="AC189" s="1">
        <v>24274</v>
      </c>
      <c r="AD189" s="1">
        <v>28797</v>
      </c>
      <c r="AE189" s="1">
        <v>32710</v>
      </c>
      <c r="AF189" s="1">
        <v>33851</v>
      </c>
      <c r="AG189" s="1">
        <v>36059</v>
      </c>
      <c r="AH189" s="1">
        <v>40819</v>
      </c>
      <c r="AI189" s="1">
        <v>47039</v>
      </c>
      <c r="AJ189" s="1">
        <v>45593</v>
      </c>
      <c r="AK189" s="1">
        <v>46210</v>
      </c>
      <c r="AL189" s="1">
        <v>48122</v>
      </c>
      <c r="AM189" s="1">
        <v>47311</v>
      </c>
      <c r="AN189" s="1">
        <v>48681</v>
      </c>
      <c r="AO189" s="1">
        <v>50273</v>
      </c>
      <c r="AP189" s="1">
        <v>45779</v>
      </c>
      <c r="AQ189" s="1">
        <v>44360</v>
      </c>
      <c r="AR189" s="1">
        <v>42167</v>
      </c>
      <c r="AS189" s="1">
        <v>42687</v>
      </c>
      <c r="AT189" s="1">
        <v>41905</v>
      </c>
      <c r="AU189" s="1">
        <v>42494</v>
      </c>
      <c r="AV189" s="1">
        <v>46813</v>
      </c>
      <c r="AW189" s="1">
        <v>44596</v>
      </c>
      <c r="AX189" s="1">
        <v>48541</v>
      </c>
      <c r="AY189" s="1">
        <v>53063</v>
      </c>
      <c r="AZ189" s="1">
        <v>56291</v>
      </c>
    </row>
    <row r="190" spans="1:52" x14ac:dyDescent="0.3">
      <c r="A190" t="s">
        <v>189</v>
      </c>
      <c r="B190" s="1">
        <v>62735</v>
      </c>
      <c r="C190" s="1">
        <v>71763</v>
      </c>
      <c r="D190" s="1">
        <v>81839</v>
      </c>
      <c r="E190" s="1">
        <v>90347</v>
      </c>
      <c r="F190" s="1">
        <v>123319</v>
      </c>
      <c r="G190" s="1">
        <v>96596</v>
      </c>
      <c r="H190" s="1">
        <v>97865</v>
      </c>
      <c r="I190" s="1">
        <v>88918</v>
      </c>
      <c r="J190" s="1">
        <v>84968</v>
      </c>
      <c r="K190" s="1">
        <v>82642</v>
      </c>
      <c r="L190" s="1">
        <v>92827</v>
      </c>
      <c r="M190" s="1">
        <v>102337</v>
      </c>
      <c r="N190" s="1">
        <v>118926</v>
      </c>
      <c r="O190" s="1">
        <v>125032</v>
      </c>
      <c r="P190" s="1">
        <v>147727</v>
      </c>
      <c r="Q190" s="1">
        <v>207508</v>
      </c>
      <c r="R190" s="1">
        <v>208402</v>
      </c>
      <c r="S190" s="1">
        <v>219176</v>
      </c>
      <c r="T190" s="1">
        <v>248573</v>
      </c>
      <c r="U190" s="1">
        <v>179359</v>
      </c>
      <c r="V190" s="1">
        <v>233566</v>
      </c>
      <c r="W190" s="1">
        <v>250486</v>
      </c>
      <c r="X190" s="1">
        <v>261857</v>
      </c>
      <c r="Y190" s="1">
        <v>277599</v>
      </c>
      <c r="Z190" s="1">
        <v>254024</v>
      </c>
      <c r="AA190" s="1">
        <v>273118</v>
      </c>
      <c r="AB190" s="1">
        <v>202558</v>
      </c>
      <c r="AC190" s="1">
        <v>238150</v>
      </c>
      <c r="AD190" s="1">
        <v>316540</v>
      </c>
      <c r="AE190" s="1">
        <v>407024</v>
      </c>
      <c r="AF190" s="1">
        <v>504800</v>
      </c>
      <c r="AG190" s="1">
        <v>552332</v>
      </c>
      <c r="AH190" s="1">
        <v>682992</v>
      </c>
      <c r="AI190" s="1">
        <v>782851</v>
      </c>
      <c r="AJ190" s="1">
        <v>651513</v>
      </c>
      <c r="AK190" s="1">
        <v>777443</v>
      </c>
      <c r="AL190" s="1">
        <v>837924</v>
      </c>
      <c r="AM190" s="1">
        <v>877681</v>
      </c>
      <c r="AN190" s="1">
        <v>958088</v>
      </c>
      <c r="AO190" s="1">
        <v>939924</v>
      </c>
      <c r="AP190" s="1">
        <v>867054</v>
      </c>
      <c r="AQ190" s="1">
        <v>869204</v>
      </c>
      <c r="AR190" s="1">
        <v>859020</v>
      </c>
      <c r="AS190" s="1">
        <v>797707</v>
      </c>
      <c r="AT190" s="1">
        <v>760388</v>
      </c>
      <c r="AU190" s="1">
        <v>717114</v>
      </c>
      <c r="AV190" s="1">
        <v>807893</v>
      </c>
      <c r="AW190" s="1">
        <v>905800</v>
      </c>
      <c r="AX190" s="1">
        <v>1130062</v>
      </c>
      <c r="AY190" s="1">
        <v>1322405</v>
      </c>
      <c r="AZ190" s="1">
        <v>1437406</v>
      </c>
    </row>
    <row r="191" spans="1:52" x14ac:dyDescent="0.3">
      <c r="A191" t="s">
        <v>190</v>
      </c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>
        <v>1625</v>
      </c>
      <c r="T191" s="1">
        <v>9169</v>
      </c>
      <c r="U191" s="1">
        <v>7765</v>
      </c>
      <c r="V191" s="1">
        <v>10043</v>
      </c>
      <c r="W191" s="1">
        <v>4068</v>
      </c>
      <c r="X191" s="1">
        <v>4584</v>
      </c>
      <c r="Y191" s="1">
        <v>4893</v>
      </c>
      <c r="Z191" s="1">
        <v>6595</v>
      </c>
      <c r="AA191" s="1">
        <v>8587</v>
      </c>
      <c r="AB191" s="1">
        <v>11855</v>
      </c>
      <c r="AC191" s="1">
        <v>14875</v>
      </c>
      <c r="AD191" s="1">
        <v>19533</v>
      </c>
      <c r="AE191" s="1">
        <v>24272</v>
      </c>
      <c r="AF191" s="1">
        <v>29363</v>
      </c>
      <c r="AG191" s="1">
        <v>36577</v>
      </c>
      <c r="AH191" s="1">
        <v>44388</v>
      </c>
      <c r="AI191" s="1">
        <v>36788</v>
      </c>
      <c r="AJ191" s="1">
        <v>34562</v>
      </c>
      <c r="AK191" s="1">
        <v>35164</v>
      </c>
      <c r="AL191" s="1">
        <v>44413</v>
      </c>
      <c r="AM191" s="1">
        <v>50252</v>
      </c>
      <c r="AN191" s="1">
        <v>50863</v>
      </c>
      <c r="AO191" s="1">
        <v>56204</v>
      </c>
      <c r="AP191" s="1">
        <v>44944</v>
      </c>
      <c r="AQ191" s="1">
        <v>42876</v>
      </c>
      <c r="AR191" s="1">
        <v>45902</v>
      </c>
      <c r="AS191" s="1">
        <v>49299</v>
      </c>
      <c r="AT191" s="1">
        <v>53035</v>
      </c>
      <c r="AU191" s="1">
        <v>52385</v>
      </c>
      <c r="AV191" s="1">
        <v>60934</v>
      </c>
      <c r="AW191" s="1">
        <v>77963</v>
      </c>
      <c r="AX191" s="1">
        <v>77876</v>
      </c>
      <c r="AY191" s="1">
        <v>82515</v>
      </c>
      <c r="AZ191" s="1">
        <v>89054</v>
      </c>
    </row>
    <row r="192" spans="1:52" x14ac:dyDescent="0.3">
      <c r="A192" t="s">
        <v>191</v>
      </c>
      <c r="B192" s="1">
        <v>4</v>
      </c>
      <c r="C192" s="1">
        <v>4</v>
      </c>
      <c r="D192" s="1">
        <v>4</v>
      </c>
      <c r="E192" s="1">
        <v>4</v>
      </c>
      <c r="F192" s="1">
        <v>4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>
        <v>15</v>
      </c>
      <c r="AB192" s="1">
        <v>14</v>
      </c>
      <c r="AC192" s="1">
        <v>17</v>
      </c>
      <c r="AD192" s="1">
        <v>20</v>
      </c>
      <c r="AE192" s="1">
        <v>23</v>
      </c>
      <c r="AF192" s="1">
        <v>23</v>
      </c>
      <c r="AG192" s="1">
        <v>24</v>
      </c>
      <c r="AH192" s="1">
        <v>29</v>
      </c>
      <c r="AI192" s="1">
        <v>32</v>
      </c>
      <c r="AJ192" s="1">
        <v>28</v>
      </c>
      <c r="AK192" s="1">
        <v>33</v>
      </c>
      <c r="AL192" s="1">
        <v>40</v>
      </c>
      <c r="AM192" s="1">
        <v>39</v>
      </c>
      <c r="AN192" s="1">
        <v>39</v>
      </c>
      <c r="AO192" s="1">
        <v>39</v>
      </c>
      <c r="AP192" s="1">
        <v>37</v>
      </c>
      <c r="AQ192" s="1">
        <v>41</v>
      </c>
      <c r="AR192" s="1">
        <v>45</v>
      </c>
      <c r="AS192" s="1">
        <v>48</v>
      </c>
      <c r="AT192" s="1">
        <v>54</v>
      </c>
      <c r="AU192" s="1">
        <v>52</v>
      </c>
      <c r="AV192" s="1">
        <v>62</v>
      </c>
      <c r="AW192" s="1">
        <v>61</v>
      </c>
      <c r="AX192" s="1">
        <v>63</v>
      </c>
      <c r="AY192" s="1">
        <v>65</v>
      </c>
      <c r="AZ192" s="1">
        <v>65</v>
      </c>
    </row>
    <row r="193" spans="1:52" x14ac:dyDescent="0.3">
      <c r="A193" t="s">
        <v>192</v>
      </c>
      <c r="B193" s="1">
        <v>2524</v>
      </c>
      <c r="C193" s="1">
        <v>2668</v>
      </c>
      <c r="D193" s="1">
        <v>2876</v>
      </c>
      <c r="E193" s="1">
        <v>2955</v>
      </c>
      <c r="F193" s="1">
        <v>2801</v>
      </c>
      <c r="G193" s="1">
        <v>7486</v>
      </c>
      <c r="H193" s="1">
        <v>12120</v>
      </c>
      <c r="I193" s="1">
        <v>8410</v>
      </c>
      <c r="J193" s="1">
        <v>9619</v>
      </c>
      <c r="K193" s="1">
        <v>7399</v>
      </c>
      <c r="L193" s="1">
        <v>6771</v>
      </c>
      <c r="M193" s="1">
        <v>6746</v>
      </c>
      <c r="N193" s="1">
        <v>10878</v>
      </c>
      <c r="O193" s="1">
        <v>11268</v>
      </c>
      <c r="P193" s="1">
        <v>9136</v>
      </c>
      <c r="Q193" s="1">
        <v>7452</v>
      </c>
      <c r="R193" s="1">
        <v>3897</v>
      </c>
      <c r="S193" s="1">
        <v>3645</v>
      </c>
      <c r="T193" s="1">
        <v>4311</v>
      </c>
      <c r="U193" s="1">
        <v>6240</v>
      </c>
      <c r="V193" s="1">
        <v>7473</v>
      </c>
      <c r="W193" s="1">
        <v>7713</v>
      </c>
      <c r="X193" s="1">
        <v>8407</v>
      </c>
      <c r="Y193" s="1">
        <v>8230</v>
      </c>
      <c r="Z193" s="1">
        <v>7823</v>
      </c>
      <c r="AA193" s="1">
        <v>7756</v>
      </c>
      <c r="AB193" s="1">
        <v>7835</v>
      </c>
      <c r="AC193" s="1">
        <v>8425</v>
      </c>
      <c r="AD193" s="1">
        <v>8725</v>
      </c>
      <c r="AE193" s="1">
        <v>10750</v>
      </c>
      <c r="AF193" s="1">
        <v>12460</v>
      </c>
      <c r="AG193" s="1">
        <v>14079</v>
      </c>
      <c r="AH193" s="1">
        <v>17512</v>
      </c>
      <c r="AI193" s="1">
        <v>22419</v>
      </c>
      <c r="AJ193" s="1">
        <v>24107</v>
      </c>
      <c r="AK193" s="1">
        <v>24683</v>
      </c>
      <c r="AL193" s="1">
        <v>27501</v>
      </c>
      <c r="AM193" s="1">
        <v>30939</v>
      </c>
      <c r="AN193" s="1">
        <v>32331</v>
      </c>
      <c r="AO193" s="1">
        <v>34754</v>
      </c>
      <c r="AP193" s="1">
        <v>30122</v>
      </c>
      <c r="AQ193" s="1">
        <v>30232</v>
      </c>
      <c r="AR193" s="1">
        <v>31589</v>
      </c>
      <c r="AS193" s="1">
        <v>34126</v>
      </c>
      <c r="AT193" s="1">
        <v>37895</v>
      </c>
      <c r="AU193" s="1">
        <v>37889</v>
      </c>
      <c r="AV193" s="1">
        <v>42805</v>
      </c>
      <c r="AW193" s="1">
        <v>47276</v>
      </c>
      <c r="AX193" s="1">
        <v>51934</v>
      </c>
      <c r="AY193" s="1">
        <v>56453</v>
      </c>
      <c r="AZ193" s="1">
        <v>64277</v>
      </c>
    </row>
    <row r="194" spans="1:52" x14ac:dyDescent="0.3">
      <c r="A194" t="s">
        <v>193</v>
      </c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>
        <v>22193</v>
      </c>
      <c r="T194" s="1">
        <v>35025</v>
      </c>
      <c r="U194" s="1">
        <v>38012</v>
      </c>
      <c r="V194" s="1">
        <v>38275</v>
      </c>
      <c r="W194" s="1">
        <v>46083</v>
      </c>
      <c r="X194" s="1">
        <v>51867</v>
      </c>
      <c r="Y194" s="1">
        <v>43315</v>
      </c>
      <c r="Z194" s="1">
        <v>32661</v>
      </c>
      <c r="AA194" s="1">
        <v>32331</v>
      </c>
      <c r="AB194" s="1">
        <v>37863</v>
      </c>
      <c r="AC194" s="1">
        <v>42339</v>
      </c>
      <c r="AD194" s="1">
        <v>50096</v>
      </c>
      <c r="AE194" s="1">
        <v>64747</v>
      </c>
      <c r="AF194" s="1">
        <v>85996</v>
      </c>
      <c r="AG194" s="1">
        <v>107767</v>
      </c>
      <c r="AH194" s="1">
        <v>143260</v>
      </c>
      <c r="AI194" s="1">
        <v>181313</v>
      </c>
      <c r="AJ194" s="1">
        <v>117079</v>
      </c>
      <c r="AK194" s="1">
        <v>136011</v>
      </c>
      <c r="AL194" s="1">
        <v>163059</v>
      </c>
      <c r="AM194" s="1">
        <v>175781</v>
      </c>
      <c r="AN194" s="1">
        <v>183310</v>
      </c>
      <c r="AO194" s="1">
        <v>133392</v>
      </c>
      <c r="AP194" s="1">
        <v>90922</v>
      </c>
      <c r="AQ194" s="1">
        <v>93349</v>
      </c>
      <c r="AR194" s="1">
        <v>112064</v>
      </c>
      <c r="AS194" s="1">
        <v>130905</v>
      </c>
      <c r="AT194" s="1">
        <v>153904</v>
      </c>
      <c r="AU194" s="1">
        <v>156566</v>
      </c>
      <c r="AV194" s="1">
        <v>199835</v>
      </c>
      <c r="AW194" s="1">
        <v>161987</v>
      </c>
      <c r="AX194" s="1">
        <v>178763</v>
      </c>
      <c r="AY194" s="1">
        <v>190426</v>
      </c>
      <c r="AZ194" s="1">
        <v>205742</v>
      </c>
    </row>
    <row r="195" spans="1:52" x14ac:dyDescent="0.3">
      <c r="A195" t="s">
        <v>194</v>
      </c>
      <c r="B195" s="1">
        <v>14721</v>
      </c>
      <c r="C195" s="1">
        <v>19213</v>
      </c>
      <c r="D195" s="1">
        <v>24872</v>
      </c>
      <c r="E195" s="1">
        <v>23776</v>
      </c>
      <c r="F195" s="1">
        <v>31226</v>
      </c>
      <c r="G195" s="1">
        <v>41725</v>
      </c>
      <c r="H195" s="1">
        <v>46461</v>
      </c>
      <c r="I195" s="1">
        <v>43205</v>
      </c>
      <c r="J195" s="1">
        <v>39588</v>
      </c>
      <c r="K195" s="1">
        <v>39245</v>
      </c>
      <c r="L195" s="1">
        <v>38519</v>
      </c>
      <c r="M195" s="1">
        <v>30526</v>
      </c>
      <c r="N195" s="1">
        <v>33519</v>
      </c>
      <c r="O195" s="1">
        <v>34069</v>
      </c>
      <c r="P195" s="1">
        <v>39325</v>
      </c>
      <c r="Q195" s="1">
        <v>50682</v>
      </c>
      <c r="R195" s="1">
        <v>49300</v>
      </c>
      <c r="S195" s="1">
        <v>51952</v>
      </c>
      <c r="T195" s="1">
        <v>52144</v>
      </c>
      <c r="U195" s="1">
        <v>57395</v>
      </c>
      <c r="V195" s="1">
        <v>63432</v>
      </c>
      <c r="W195" s="1">
        <v>72853</v>
      </c>
      <c r="X195" s="1">
        <v>77167</v>
      </c>
      <c r="Y195" s="1">
        <v>75304</v>
      </c>
      <c r="Z195" s="1">
        <v>84420</v>
      </c>
      <c r="AA195" s="1">
        <v>102987</v>
      </c>
      <c r="AB195" s="1">
        <v>103312</v>
      </c>
      <c r="AC195" s="1">
        <v>109816</v>
      </c>
      <c r="AD195" s="1">
        <v>124346</v>
      </c>
      <c r="AE195" s="1">
        <v>147812</v>
      </c>
      <c r="AF195" s="1">
        <v>180616</v>
      </c>
      <c r="AG195" s="1">
        <v>222117</v>
      </c>
      <c r="AH195" s="1">
        <v>257883</v>
      </c>
      <c r="AI195" s="1">
        <v>315464</v>
      </c>
      <c r="AJ195" s="1">
        <v>253547</v>
      </c>
      <c r="AK195" s="1">
        <v>300189</v>
      </c>
      <c r="AL195" s="1">
        <v>360833</v>
      </c>
      <c r="AM195" s="1">
        <v>384610</v>
      </c>
      <c r="AN195" s="1">
        <v>400219</v>
      </c>
      <c r="AO195" s="1">
        <v>414105</v>
      </c>
      <c r="AP195" s="1">
        <v>370276</v>
      </c>
      <c r="AQ195" s="1">
        <v>369255</v>
      </c>
      <c r="AR195" s="1">
        <v>390517</v>
      </c>
      <c r="AS195" s="1">
        <v>427049</v>
      </c>
      <c r="AT195" s="1">
        <v>417990</v>
      </c>
      <c r="AU195" s="1">
        <v>349473</v>
      </c>
      <c r="AV195" s="1">
        <v>415179</v>
      </c>
      <c r="AW195" s="1">
        <v>502732</v>
      </c>
      <c r="AX195" s="1">
        <v>514130</v>
      </c>
      <c r="AY195" s="1">
        <v>537079</v>
      </c>
      <c r="AZ195" s="1">
        <v>548598</v>
      </c>
    </row>
    <row r="196" spans="1:52" x14ac:dyDescent="0.3">
      <c r="A196" t="s">
        <v>195</v>
      </c>
      <c r="B196" s="1">
        <v>236514</v>
      </c>
      <c r="C196" s="1">
        <v>227217</v>
      </c>
      <c r="D196" s="1">
        <v>256596</v>
      </c>
      <c r="E196" s="1">
        <v>325244</v>
      </c>
      <c r="F196" s="1">
        <v>422476</v>
      </c>
      <c r="G196" s="1">
        <v>604697</v>
      </c>
      <c r="H196" s="1">
        <v>588342</v>
      </c>
      <c r="I196" s="1">
        <v>559326</v>
      </c>
      <c r="J196" s="1">
        <v>532925</v>
      </c>
      <c r="K196" s="1">
        <v>504939</v>
      </c>
      <c r="L196" s="1">
        <v>537200</v>
      </c>
      <c r="M196" s="1">
        <v>655035</v>
      </c>
      <c r="N196" s="1">
        <v>814102</v>
      </c>
      <c r="O196" s="1">
        <v>989706</v>
      </c>
      <c r="P196" s="1">
        <v>1007623</v>
      </c>
      <c r="Q196" s="1">
        <v>1197021</v>
      </c>
      <c r="R196" s="1">
        <v>1248625</v>
      </c>
      <c r="S196" s="1">
        <v>1289587</v>
      </c>
      <c r="T196" s="1">
        <v>1155162</v>
      </c>
      <c r="U196" s="1">
        <v>1241720</v>
      </c>
      <c r="V196" s="1">
        <v>1344504</v>
      </c>
      <c r="W196" s="1">
        <v>1421099</v>
      </c>
      <c r="X196" s="1">
        <v>1561239</v>
      </c>
      <c r="Y196" s="1">
        <v>1653852</v>
      </c>
      <c r="Z196" s="1">
        <v>1688248</v>
      </c>
      <c r="AA196" s="1">
        <v>1668690</v>
      </c>
      <c r="AB196" s="1">
        <v>1650252</v>
      </c>
      <c r="AC196" s="1">
        <v>1788549</v>
      </c>
      <c r="AD196" s="1">
        <v>2056294</v>
      </c>
      <c r="AE196" s="1">
        <v>2422619</v>
      </c>
      <c r="AF196" s="1">
        <v>2546038</v>
      </c>
      <c r="AG196" s="1">
        <v>2712257</v>
      </c>
      <c r="AH196" s="1">
        <v>3091695</v>
      </c>
      <c r="AI196" s="1">
        <v>2960390</v>
      </c>
      <c r="AJ196" s="1">
        <v>2421476</v>
      </c>
      <c r="AK196" s="1">
        <v>2487924</v>
      </c>
      <c r="AL196" s="1">
        <v>2664719</v>
      </c>
      <c r="AM196" s="1">
        <v>2707571</v>
      </c>
      <c r="AN196" s="1">
        <v>2786665</v>
      </c>
      <c r="AO196" s="1">
        <v>3066304</v>
      </c>
      <c r="AP196" s="1">
        <v>2928558</v>
      </c>
      <c r="AQ196" s="1">
        <v>2699086</v>
      </c>
      <c r="AR196" s="1">
        <v>2682384</v>
      </c>
      <c r="AS196" s="1">
        <v>2875024</v>
      </c>
      <c r="AT196" s="1">
        <v>2853074</v>
      </c>
      <c r="AU196" s="1">
        <v>2698705</v>
      </c>
      <c r="AV196" s="1">
        <v>3144079</v>
      </c>
      <c r="AW196" s="1">
        <v>3125404</v>
      </c>
      <c r="AX196" s="1">
        <v>3371118</v>
      </c>
      <c r="AY196" s="1">
        <v>3644636</v>
      </c>
      <c r="AZ196" s="1">
        <v>3839180</v>
      </c>
    </row>
    <row r="197" spans="1:52" x14ac:dyDescent="0.3">
      <c r="A197" t="s">
        <v>196</v>
      </c>
      <c r="B197" s="1">
        <v>1623400</v>
      </c>
      <c r="C197" s="1">
        <v>1809100</v>
      </c>
      <c r="D197" s="1">
        <v>2013600</v>
      </c>
      <c r="E197" s="1">
        <v>2276000</v>
      </c>
      <c r="F197" s="1">
        <v>2543500</v>
      </c>
      <c r="G197" s="1">
        <v>2857325</v>
      </c>
      <c r="H197" s="1">
        <v>3207025</v>
      </c>
      <c r="I197" s="1">
        <v>3343800</v>
      </c>
      <c r="J197" s="1">
        <v>3634025</v>
      </c>
      <c r="K197" s="1">
        <v>4037650</v>
      </c>
      <c r="L197" s="1">
        <v>4339000</v>
      </c>
      <c r="M197" s="1">
        <v>4579625</v>
      </c>
      <c r="N197" s="1">
        <v>4855250</v>
      </c>
      <c r="O197" s="1">
        <v>5236425</v>
      </c>
      <c r="P197" s="1">
        <v>5641600</v>
      </c>
      <c r="Q197" s="1">
        <v>5963125</v>
      </c>
      <c r="R197" s="1">
        <v>6158125</v>
      </c>
      <c r="S197" s="1">
        <v>6520325</v>
      </c>
      <c r="T197" s="1">
        <v>6858550</v>
      </c>
      <c r="U197" s="1">
        <v>7287250</v>
      </c>
      <c r="V197" s="1">
        <v>7639750</v>
      </c>
      <c r="W197" s="1">
        <v>8073125</v>
      </c>
      <c r="X197" s="1">
        <v>8577550</v>
      </c>
      <c r="Y197" s="1">
        <v>9062825</v>
      </c>
      <c r="Z197" s="1">
        <v>9631175</v>
      </c>
      <c r="AA197" s="1">
        <v>10250950</v>
      </c>
      <c r="AB197" s="1">
        <v>10581925</v>
      </c>
      <c r="AC197" s="1">
        <v>10929100</v>
      </c>
      <c r="AD197" s="1">
        <v>11456450</v>
      </c>
      <c r="AE197" s="1">
        <v>12217175</v>
      </c>
      <c r="AF197" s="1">
        <v>13039200</v>
      </c>
      <c r="AG197" s="1">
        <v>13815600</v>
      </c>
      <c r="AH197" s="1">
        <v>14474250</v>
      </c>
      <c r="AI197" s="1">
        <v>14769850</v>
      </c>
      <c r="AJ197" s="1">
        <v>14478050</v>
      </c>
      <c r="AK197" s="1">
        <v>15048975</v>
      </c>
      <c r="AL197" s="1">
        <v>15599725</v>
      </c>
      <c r="AM197" s="1">
        <v>16253950</v>
      </c>
      <c r="AN197" s="1">
        <v>16880675</v>
      </c>
      <c r="AO197" s="1">
        <v>17608125</v>
      </c>
      <c r="AP197" s="1">
        <v>18295000</v>
      </c>
      <c r="AQ197" s="1">
        <v>18804900</v>
      </c>
      <c r="AR197" s="1">
        <v>19612100</v>
      </c>
      <c r="AS197" s="1">
        <v>20656525</v>
      </c>
      <c r="AT197" s="1">
        <v>21539975</v>
      </c>
      <c r="AU197" s="1">
        <v>21354125</v>
      </c>
      <c r="AV197" s="1">
        <v>23681175</v>
      </c>
      <c r="AW197" s="1">
        <v>26006900</v>
      </c>
      <c r="AX197" s="1">
        <v>27720725</v>
      </c>
      <c r="AY197" s="1">
        <v>29184900</v>
      </c>
      <c r="AZ197" s="1">
        <v>30507217</v>
      </c>
    </row>
    <row r="198" spans="1:52" x14ac:dyDescent="0.3">
      <c r="A198" t="s">
        <v>197</v>
      </c>
      <c r="B198" s="1">
        <v>3825</v>
      </c>
      <c r="C198" s="1">
        <v>4007</v>
      </c>
      <c r="D198" s="1">
        <v>4488</v>
      </c>
      <c r="E198" s="1">
        <v>5377</v>
      </c>
      <c r="F198" s="1">
        <v>7698</v>
      </c>
      <c r="G198" s="1">
        <v>12217</v>
      </c>
      <c r="H198" s="1">
        <v>13636</v>
      </c>
      <c r="I198" s="1">
        <v>11147</v>
      </c>
      <c r="J198" s="1">
        <v>6119</v>
      </c>
      <c r="K198" s="1">
        <v>5819</v>
      </c>
      <c r="L198" s="1">
        <v>5686</v>
      </c>
      <c r="M198" s="1">
        <v>7059</v>
      </c>
      <c r="N198" s="1">
        <v>8832</v>
      </c>
      <c r="O198" s="1">
        <v>9137</v>
      </c>
      <c r="P198" s="1">
        <v>9630</v>
      </c>
      <c r="Q198" s="1">
        <v>11204</v>
      </c>
      <c r="R198" s="1">
        <v>13502</v>
      </c>
      <c r="S198" s="1">
        <v>15515</v>
      </c>
      <c r="T198" s="1">
        <v>18064</v>
      </c>
      <c r="U198" s="1">
        <v>21040</v>
      </c>
      <c r="V198" s="1">
        <v>23267</v>
      </c>
      <c r="W198" s="1">
        <v>24730</v>
      </c>
      <c r="X198" s="1">
        <v>26155</v>
      </c>
      <c r="Y198" s="1">
        <v>27704</v>
      </c>
      <c r="Z198" s="1">
        <v>26178</v>
      </c>
      <c r="AA198" s="1">
        <v>24892</v>
      </c>
      <c r="AB198" s="1">
        <v>22802</v>
      </c>
      <c r="AC198" s="1">
        <v>14863</v>
      </c>
      <c r="AD198" s="1">
        <v>13159</v>
      </c>
      <c r="AE198" s="1">
        <v>14959</v>
      </c>
      <c r="AF198" s="1">
        <v>18986</v>
      </c>
      <c r="AG198" s="1">
        <v>21416</v>
      </c>
      <c r="AH198" s="1">
        <v>25603</v>
      </c>
      <c r="AI198" s="1">
        <v>33151</v>
      </c>
      <c r="AJ198" s="1">
        <v>34565</v>
      </c>
      <c r="AK198" s="1">
        <v>43967</v>
      </c>
      <c r="AL198" s="1">
        <v>52354</v>
      </c>
      <c r="AM198" s="1">
        <v>55938</v>
      </c>
      <c r="AN198" s="1">
        <v>62857</v>
      </c>
      <c r="AO198" s="1">
        <v>62546</v>
      </c>
      <c r="AP198" s="1">
        <v>58218</v>
      </c>
      <c r="AQ198" s="1">
        <v>57580</v>
      </c>
      <c r="AR198" s="1">
        <v>65068</v>
      </c>
      <c r="AS198" s="1">
        <v>65370</v>
      </c>
      <c r="AT198" s="1">
        <v>62229</v>
      </c>
      <c r="AU198" s="1">
        <v>53557</v>
      </c>
      <c r="AV198" s="1">
        <v>60742</v>
      </c>
      <c r="AW198" s="1">
        <v>70600</v>
      </c>
      <c r="AX198" s="1">
        <v>77997</v>
      </c>
      <c r="AY198" s="1">
        <v>80961</v>
      </c>
      <c r="AZ198" s="1">
        <v>79731</v>
      </c>
    </row>
    <row r="199" spans="1:52" x14ac:dyDescent="0.3">
      <c r="A199" t="s">
        <v>198</v>
      </c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>
        <v>4476</v>
      </c>
      <c r="T199" s="1">
        <v>6897</v>
      </c>
      <c r="U199" s="1">
        <v>8175</v>
      </c>
      <c r="V199" s="1">
        <v>12746</v>
      </c>
      <c r="W199" s="1">
        <v>17453</v>
      </c>
      <c r="X199" s="1">
        <v>18433</v>
      </c>
      <c r="Y199" s="1">
        <v>18738</v>
      </c>
      <c r="Z199" s="1">
        <v>21362</v>
      </c>
      <c r="AA199" s="1">
        <v>17195</v>
      </c>
      <c r="AB199" s="1">
        <v>14581</v>
      </c>
      <c r="AC199" s="1">
        <v>12106</v>
      </c>
      <c r="AD199" s="1">
        <v>12697</v>
      </c>
      <c r="AE199" s="1">
        <v>15045</v>
      </c>
      <c r="AF199" s="1">
        <v>17939</v>
      </c>
      <c r="AG199" s="1">
        <v>21344</v>
      </c>
      <c r="AH199" s="1">
        <v>27963</v>
      </c>
      <c r="AI199" s="1">
        <v>35858</v>
      </c>
      <c r="AJ199" s="1">
        <v>41945</v>
      </c>
      <c r="AK199" s="1">
        <v>49772</v>
      </c>
      <c r="AL199" s="1">
        <v>60213</v>
      </c>
      <c r="AM199" s="1">
        <v>67520</v>
      </c>
      <c r="AN199" s="1">
        <v>73192</v>
      </c>
      <c r="AO199" s="1">
        <v>80848</v>
      </c>
      <c r="AP199" s="1">
        <v>85662</v>
      </c>
      <c r="AQ199" s="1">
        <v>85658</v>
      </c>
      <c r="AR199" s="1">
        <v>69703</v>
      </c>
      <c r="AS199" s="1">
        <v>58696</v>
      </c>
      <c r="AT199" s="1">
        <v>67294</v>
      </c>
      <c r="AU199" s="1">
        <v>66443</v>
      </c>
      <c r="AV199" s="1">
        <v>77340</v>
      </c>
      <c r="AW199" s="1">
        <v>90125</v>
      </c>
      <c r="AX199" s="1">
        <v>102634</v>
      </c>
      <c r="AY199" s="1">
        <v>114962</v>
      </c>
      <c r="AZ199" s="1">
        <v>132484</v>
      </c>
    </row>
    <row r="200" spans="1:52" x14ac:dyDescent="0.3">
      <c r="A200" t="s">
        <v>199</v>
      </c>
      <c r="B200" s="1">
        <v>81</v>
      </c>
      <c r="C200" s="1">
        <v>78</v>
      </c>
      <c r="D200" s="1">
        <v>82</v>
      </c>
      <c r="E200" s="1">
        <v>100</v>
      </c>
      <c r="F200" s="1">
        <v>132</v>
      </c>
      <c r="G200" s="1">
        <v>121</v>
      </c>
      <c r="H200" s="1">
        <v>114</v>
      </c>
      <c r="I200" s="1">
        <v>114</v>
      </c>
      <c r="J200" s="1">
        <v>117</v>
      </c>
      <c r="K200" s="1">
        <v>144</v>
      </c>
      <c r="L200" s="1">
        <v>132</v>
      </c>
      <c r="M200" s="1">
        <v>128</v>
      </c>
      <c r="N200" s="1">
        <v>139</v>
      </c>
      <c r="O200" s="1">
        <v>158</v>
      </c>
      <c r="P200" s="1">
        <v>154</v>
      </c>
      <c r="Q200" s="1">
        <v>169</v>
      </c>
      <c r="R200" s="1">
        <v>201</v>
      </c>
      <c r="S200" s="1">
        <v>209</v>
      </c>
      <c r="T200" s="1">
        <v>200</v>
      </c>
      <c r="U200" s="1">
        <v>234</v>
      </c>
      <c r="V200" s="1">
        <v>249</v>
      </c>
      <c r="W200" s="1">
        <v>261</v>
      </c>
      <c r="X200" s="1">
        <v>273</v>
      </c>
      <c r="Y200" s="1">
        <v>262</v>
      </c>
      <c r="Z200" s="1">
        <v>268</v>
      </c>
      <c r="AA200" s="1">
        <v>272</v>
      </c>
      <c r="AB200" s="1">
        <v>257</v>
      </c>
      <c r="AC200" s="1">
        <v>262</v>
      </c>
      <c r="AD200" s="1">
        <v>315</v>
      </c>
      <c r="AE200" s="1">
        <v>365</v>
      </c>
      <c r="AF200" s="1">
        <v>390</v>
      </c>
      <c r="AG200" s="1">
        <v>435</v>
      </c>
      <c r="AH200" s="1">
        <v>517</v>
      </c>
      <c r="AI200" s="1">
        <v>582</v>
      </c>
      <c r="AJ200" s="1">
        <v>590</v>
      </c>
      <c r="AK200" s="1">
        <v>652</v>
      </c>
      <c r="AL200" s="1">
        <v>738</v>
      </c>
      <c r="AM200" s="1">
        <v>736</v>
      </c>
      <c r="AN200" s="1">
        <v>755</v>
      </c>
      <c r="AO200" s="1">
        <v>775</v>
      </c>
      <c r="AP200" s="1">
        <v>774</v>
      </c>
      <c r="AQ200" s="1">
        <v>798</v>
      </c>
      <c r="AR200" s="1">
        <v>880</v>
      </c>
      <c r="AS200" s="1">
        <v>928</v>
      </c>
      <c r="AT200" s="1">
        <v>930</v>
      </c>
      <c r="AU200" s="1">
        <v>1008</v>
      </c>
      <c r="AV200" s="1">
        <v>921</v>
      </c>
      <c r="AW200" s="1">
        <v>1072</v>
      </c>
      <c r="AX200" s="1">
        <v>1158</v>
      </c>
      <c r="AY200" s="1">
        <v>1206</v>
      </c>
      <c r="AZ200" s="1">
        <v>1267</v>
      </c>
    </row>
    <row r="201" spans="1:52" x14ac:dyDescent="0.3">
      <c r="A201" t="s">
        <v>200</v>
      </c>
      <c r="B201" s="1">
        <v>32125</v>
      </c>
      <c r="C201" s="1">
        <v>36751</v>
      </c>
      <c r="D201" s="1">
        <v>42355</v>
      </c>
      <c r="E201" s="1">
        <v>45987</v>
      </c>
      <c r="F201" s="1">
        <v>56508</v>
      </c>
      <c r="G201" s="1">
        <v>69841</v>
      </c>
      <c r="H201" s="1">
        <v>78367</v>
      </c>
      <c r="I201" s="1">
        <v>79998</v>
      </c>
      <c r="J201" s="1">
        <v>79672</v>
      </c>
      <c r="K201" s="1">
        <v>57826</v>
      </c>
      <c r="L201" s="1">
        <v>59865</v>
      </c>
      <c r="M201" s="1">
        <v>60877</v>
      </c>
      <c r="N201" s="1">
        <v>46854</v>
      </c>
      <c r="O201" s="1">
        <v>60378</v>
      </c>
      <c r="P201" s="1">
        <v>44672</v>
      </c>
      <c r="Q201" s="1">
        <v>48391</v>
      </c>
      <c r="R201" s="1">
        <v>53382</v>
      </c>
      <c r="S201" s="1">
        <v>60400</v>
      </c>
      <c r="T201" s="1">
        <v>59865</v>
      </c>
      <c r="U201" s="1">
        <v>58357</v>
      </c>
      <c r="V201" s="1">
        <v>77427</v>
      </c>
      <c r="W201" s="1">
        <v>70536</v>
      </c>
      <c r="X201" s="1">
        <v>85684</v>
      </c>
      <c r="Y201" s="1">
        <v>91836</v>
      </c>
      <c r="Z201" s="1">
        <v>97517</v>
      </c>
      <c r="AA201" s="1">
        <v>117596</v>
      </c>
      <c r="AB201" s="1">
        <v>123119</v>
      </c>
      <c r="AC201" s="1">
        <v>95258</v>
      </c>
      <c r="AD201" s="1">
        <v>83684</v>
      </c>
      <c r="AE201" s="1">
        <v>112254</v>
      </c>
      <c r="AF201" s="1">
        <v>143375</v>
      </c>
      <c r="AG201" s="1">
        <v>178521</v>
      </c>
      <c r="AH201" s="1">
        <v>232857</v>
      </c>
      <c r="AI201" s="1">
        <v>306764</v>
      </c>
      <c r="AJ201" s="1">
        <v>268624</v>
      </c>
      <c r="AK201" s="1">
        <v>318281</v>
      </c>
      <c r="AL201" s="1">
        <v>316482</v>
      </c>
      <c r="AM201" s="1">
        <v>372592</v>
      </c>
      <c r="AN201" s="1">
        <v>258931</v>
      </c>
      <c r="AO201" s="1">
        <v>214690</v>
      </c>
      <c r="AP201" s="1">
        <v>125449</v>
      </c>
      <c r="AQ201" s="1">
        <v>112915</v>
      </c>
      <c r="AR201" s="1">
        <v>115883</v>
      </c>
      <c r="AS201" s="1">
        <v>102021</v>
      </c>
      <c r="AT201" s="1">
        <v>73014</v>
      </c>
      <c r="AU201" s="1">
        <v>42838</v>
      </c>
      <c r="AV201" s="1">
        <v>56615</v>
      </c>
      <c r="AW201" s="1">
        <v>89013</v>
      </c>
      <c r="AX201" s="1">
        <v>102377</v>
      </c>
      <c r="AY201" s="1">
        <v>119808</v>
      </c>
      <c r="AZ201" s="1">
        <v>108511</v>
      </c>
    </row>
    <row r="202" spans="1:52" x14ac:dyDescent="0.3">
      <c r="A202" t="s">
        <v>201</v>
      </c>
      <c r="B202" s="1">
        <v>3896</v>
      </c>
      <c r="C202" s="1">
        <v>4541</v>
      </c>
      <c r="D202" s="1">
        <v>5413</v>
      </c>
      <c r="E202" s="1">
        <v>6532</v>
      </c>
      <c r="F202" s="1">
        <v>7140</v>
      </c>
      <c r="G202" s="1">
        <v>35357</v>
      </c>
      <c r="H202" s="1">
        <v>17617</v>
      </c>
      <c r="I202" s="1">
        <v>23369</v>
      </c>
      <c r="J202" s="1">
        <v>35204</v>
      </c>
      <c r="K202" s="1">
        <v>61171</v>
      </c>
      <c r="L202" s="1">
        <v>19045</v>
      </c>
      <c r="M202" s="1">
        <v>43009</v>
      </c>
      <c r="N202" s="1">
        <v>53385</v>
      </c>
      <c r="O202" s="1">
        <v>29501</v>
      </c>
      <c r="P202" s="1">
        <v>7991</v>
      </c>
      <c r="Q202" s="1">
        <v>8217</v>
      </c>
      <c r="R202" s="1">
        <v>9704</v>
      </c>
      <c r="S202" s="1">
        <v>12528</v>
      </c>
      <c r="T202" s="1">
        <v>16736</v>
      </c>
      <c r="U202" s="1">
        <v>20712</v>
      </c>
      <c r="V202" s="1">
        <v>26407</v>
      </c>
      <c r="W202" s="1">
        <v>31352</v>
      </c>
      <c r="X202" s="1">
        <v>34146</v>
      </c>
      <c r="Y202" s="1">
        <v>34580</v>
      </c>
      <c r="Z202" s="1">
        <v>36444</v>
      </c>
      <c r="AA202" s="1">
        <v>39585</v>
      </c>
      <c r="AB202" s="1">
        <v>41297</v>
      </c>
      <c r="AC202" s="1">
        <v>44563</v>
      </c>
      <c r="AD202" s="1">
        <v>50233</v>
      </c>
      <c r="AE202" s="1">
        <v>62877</v>
      </c>
      <c r="AF202" s="1">
        <v>73197</v>
      </c>
      <c r="AG202" s="1">
        <v>84301</v>
      </c>
      <c r="AH202" s="1">
        <v>98426</v>
      </c>
      <c r="AI202" s="1">
        <v>124756</v>
      </c>
      <c r="AJ202" s="1">
        <v>129022</v>
      </c>
      <c r="AK202" s="1">
        <v>143212</v>
      </c>
      <c r="AL202" s="1">
        <v>171312</v>
      </c>
      <c r="AM202" s="1">
        <v>195169</v>
      </c>
      <c r="AN202" s="1">
        <v>212728</v>
      </c>
      <c r="AO202" s="1">
        <v>232888</v>
      </c>
      <c r="AP202" s="1">
        <v>236795</v>
      </c>
      <c r="AQ202" s="1">
        <v>252146</v>
      </c>
      <c r="AR202" s="1">
        <v>277071</v>
      </c>
      <c r="AS202" s="1">
        <v>304470</v>
      </c>
      <c r="AT202" s="1">
        <v>331818</v>
      </c>
      <c r="AU202" s="1">
        <v>346310</v>
      </c>
      <c r="AV202" s="1">
        <v>370076</v>
      </c>
      <c r="AW202" s="1">
        <v>411068</v>
      </c>
      <c r="AX202" s="1">
        <v>433008</v>
      </c>
      <c r="AY202" s="1">
        <v>459472</v>
      </c>
      <c r="AZ202" s="1">
        <v>490970</v>
      </c>
    </row>
    <row r="203" spans="1:52" x14ac:dyDescent="0.3">
      <c r="A203" t="s">
        <v>202</v>
      </c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>
        <v>12644</v>
      </c>
      <c r="R203" s="1">
        <v>14665</v>
      </c>
      <c r="S203" s="1">
        <v>17959</v>
      </c>
      <c r="T203" s="1">
        <v>21737</v>
      </c>
      <c r="U203" s="1">
        <v>28019</v>
      </c>
      <c r="V203" s="1">
        <v>12796</v>
      </c>
      <c r="W203" s="1">
        <v>6496</v>
      </c>
      <c r="X203" s="1">
        <v>6838</v>
      </c>
      <c r="Y203" s="1">
        <v>6322</v>
      </c>
      <c r="Z203" s="1">
        <v>7639</v>
      </c>
      <c r="AA203" s="1">
        <v>9679</v>
      </c>
      <c r="AB203" s="1">
        <v>9853</v>
      </c>
      <c r="AC203" s="1">
        <v>10693</v>
      </c>
      <c r="AD203" s="1">
        <v>11778</v>
      </c>
      <c r="AE203" s="1">
        <v>13868</v>
      </c>
      <c r="AF203" s="1">
        <v>16732</v>
      </c>
      <c r="AG203" s="1">
        <v>19063</v>
      </c>
      <c r="AH203" s="1">
        <v>21651</v>
      </c>
      <c r="AI203" s="1">
        <v>26911</v>
      </c>
      <c r="AJ203" s="1">
        <v>25130</v>
      </c>
      <c r="AK203" s="1">
        <v>30907</v>
      </c>
      <c r="AL203" s="1">
        <v>32726</v>
      </c>
      <c r="AM203" s="1">
        <v>35401</v>
      </c>
      <c r="AN203" s="1">
        <v>40415</v>
      </c>
      <c r="AO203" s="1">
        <v>43229</v>
      </c>
      <c r="AP203" s="1">
        <v>42444</v>
      </c>
      <c r="AQ203" s="1">
        <v>31318</v>
      </c>
      <c r="AR203" s="1">
        <v>26842</v>
      </c>
      <c r="AS203" s="1">
        <v>21606</v>
      </c>
      <c r="AT203" s="1">
        <v>21888</v>
      </c>
      <c r="AU203" s="1">
        <v>20220</v>
      </c>
      <c r="AV203" s="1">
        <v>19394</v>
      </c>
      <c r="AW203" s="1">
        <v>23534</v>
      </c>
      <c r="AX203" s="1">
        <v>19412</v>
      </c>
      <c r="AY203" s="1">
        <v>19101</v>
      </c>
      <c r="AZ203" s="1">
        <v>17401</v>
      </c>
    </row>
    <row r="204" spans="1:52" x14ac:dyDescent="0.3">
      <c r="A204" t="s">
        <v>203</v>
      </c>
      <c r="B204" s="1">
        <v>33279</v>
      </c>
      <c r="C204" s="1">
        <v>37563</v>
      </c>
      <c r="D204" s="1">
        <v>45673</v>
      </c>
      <c r="E204" s="1">
        <v>54338</v>
      </c>
      <c r="F204" s="1">
        <v>68198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3">
      <c r="A205" t="s">
        <v>204</v>
      </c>
      <c r="B205" s="1">
        <v>2658</v>
      </c>
      <c r="C205" s="1">
        <v>2814</v>
      </c>
      <c r="D205" s="1">
        <v>2767</v>
      </c>
      <c r="E205" s="1">
        <v>3098</v>
      </c>
      <c r="F205" s="1">
        <v>3827</v>
      </c>
      <c r="G205" s="1">
        <v>4246</v>
      </c>
      <c r="H205" s="1">
        <v>4385</v>
      </c>
      <c r="I205" s="1">
        <v>4232</v>
      </c>
      <c r="J205" s="1">
        <v>3653</v>
      </c>
      <c r="K205" s="1">
        <v>3003</v>
      </c>
      <c r="L205" s="1">
        <v>2848</v>
      </c>
      <c r="M205" s="1">
        <v>1962</v>
      </c>
      <c r="N205" s="1">
        <v>2431</v>
      </c>
      <c r="O205" s="1">
        <v>4095</v>
      </c>
      <c r="P205" s="1">
        <v>4365</v>
      </c>
      <c r="Q205" s="1">
        <v>4085</v>
      </c>
      <c r="R205" s="1">
        <v>3690</v>
      </c>
      <c r="S205" s="1">
        <v>3614</v>
      </c>
      <c r="T205" s="1">
        <v>3549</v>
      </c>
      <c r="U205" s="1">
        <v>3657</v>
      </c>
      <c r="V205" s="1">
        <v>3799</v>
      </c>
      <c r="W205" s="1">
        <v>3599</v>
      </c>
      <c r="X205" s="1">
        <v>4303</v>
      </c>
      <c r="Y205" s="1">
        <v>3538</v>
      </c>
      <c r="Z205" s="1">
        <v>3405</v>
      </c>
      <c r="AA205" s="1">
        <v>3601</v>
      </c>
      <c r="AB205" s="1">
        <v>3870</v>
      </c>
      <c r="AC205" s="1">
        <v>4194</v>
      </c>
      <c r="AD205" s="1">
        <v>4902</v>
      </c>
      <c r="AE205" s="1">
        <v>6221</v>
      </c>
      <c r="AF205" s="1">
        <v>8329</v>
      </c>
      <c r="AG205" s="1">
        <v>12762</v>
      </c>
      <c r="AH205" s="1">
        <v>14060</v>
      </c>
      <c r="AI205" s="1">
        <v>17914</v>
      </c>
      <c r="AJ205" s="1">
        <v>15332</v>
      </c>
      <c r="AK205" s="1">
        <v>20264</v>
      </c>
      <c r="AL205" s="1">
        <v>23455</v>
      </c>
      <c r="AM205" s="1">
        <v>25502</v>
      </c>
      <c r="AN205" s="1">
        <v>28042</v>
      </c>
      <c r="AO205" s="1">
        <v>27145</v>
      </c>
      <c r="AP205" s="1">
        <v>21245</v>
      </c>
      <c r="AQ205" s="1">
        <v>20965</v>
      </c>
      <c r="AR205" s="1">
        <v>25874</v>
      </c>
      <c r="AS205" s="1">
        <v>26312</v>
      </c>
      <c r="AT205" s="1">
        <v>23309</v>
      </c>
      <c r="AU205" s="1">
        <v>18138</v>
      </c>
      <c r="AV205" s="1">
        <v>22096</v>
      </c>
      <c r="AW205" s="1">
        <v>29164</v>
      </c>
      <c r="AX205" s="1">
        <v>27578</v>
      </c>
      <c r="AY205" s="1">
        <v>26326</v>
      </c>
      <c r="AZ205" s="1">
        <v>28910</v>
      </c>
    </row>
    <row r="206" spans="1:52" x14ac:dyDescent="0.3">
      <c r="A206" t="s">
        <v>205</v>
      </c>
      <c r="B206" s="1">
        <v>4692</v>
      </c>
      <c r="C206" s="1">
        <v>4637</v>
      </c>
      <c r="D206" s="1">
        <v>4683</v>
      </c>
      <c r="E206" s="1">
        <v>4686</v>
      </c>
      <c r="F206" s="1">
        <v>5559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>
        <v>10143</v>
      </c>
      <c r="R206" s="1">
        <v>9450</v>
      </c>
      <c r="S206" s="1">
        <v>7793</v>
      </c>
      <c r="T206" s="1">
        <v>7569</v>
      </c>
      <c r="U206" s="1">
        <v>7959</v>
      </c>
      <c r="V206" s="1">
        <v>8263</v>
      </c>
      <c r="W206" s="1">
        <v>10117</v>
      </c>
      <c r="X206" s="1">
        <v>10386</v>
      </c>
      <c r="Y206" s="1">
        <v>12099</v>
      </c>
      <c r="Z206" s="1">
        <v>11768</v>
      </c>
      <c r="AA206" s="1">
        <v>11340</v>
      </c>
      <c r="AB206" s="1">
        <v>11243</v>
      </c>
      <c r="AC206" s="1">
        <v>10734</v>
      </c>
      <c r="AD206" s="1">
        <v>9573</v>
      </c>
      <c r="AE206" s="1">
        <v>9465</v>
      </c>
      <c r="AF206" s="1">
        <v>9045</v>
      </c>
      <c r="AG206" s="1">
        <v>8141</v>
      </c>
      <c r="AH206" s="1">
        <v>7784</v>
      </c>
      <c r="AI206" s="1">
        <v>6707</v>
      </c>
      <c r="AJ206" s="1">
        <v>9666</v>
      </c>
      <c r="AK206" s="1">
        <v>12042</v>
      </c>
      <c r="AL206" s="1">
        <v>14102</v>
      </c>
      <c r="AM206" s="1">
        <v>17115</v>
      </c>
      <c r="AN206" s="1">
        <v>19091</v>
      </c>
      <c r="AO206" s="1">
        <v>19496</v>
      </c>
      <c r="AP206" s="1">
        <v>19963</v>
      </c>
      <c r="AQ206" s="1">
        <v>20549</v>
      </c>
      <c r="AR206" s="1">
        <v>22040</v>
      </c>
      <c r="AS206" s="1">
        <v>36922</v>
      </c>
      <c r="AT206" s="1">
        <v>26033</v>
      </c>
      <c r="AU206" s="1">
        <v>26878</v>
      </c>
      <c r="AV206" s="1">
        <v>36016</v>
      </c>
      <c r="AW206" s="1">
        <v>32613</v>
      </c>
      <c r="AX206" s="1">
        <v>35144</v>
      </c>
      <c r="AY206" s="1">
        <v>35224</v>
      </c>
      <c r="AZ206" s="1">
        <v>38172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C00AA-90A4-491B-9395-003FD734CE69}">
  <dimension ref="A1:AZ52"/>
  <sheetViews>
    <sheetView tabSelected="1" workbookViewId="0"/>
  </sheetViews>
  <sheetFormatPr defaultRowHeight="14.4" x14ac:dyDescent="0.3"/>
  <cols>
    <col min="20" max="20" width="10.109375" customWidth="1"/>
    <col min="21" max="21" width="10.44140625" customWidth="1"/>
    <col min="22" max="23" width="10.109375" customWidth="1"/>
    <col min="24" max="24" width="10.5546875" customWidth="1"/>
    <col min="25" max="25" width="10.6640625" customWidth="1"/>
    <col min="26" max="26" width="10.33203125" customWidth="1"/>
    <col min="27" max="27" width="10" customWidth="1"/>
    <col min="28" max="28" width="9.88671875" customWidth="1"/>
    <col min="29" max="29" width="10.109375" customWidth="1"/>
    <col min="30" max="30" width="10.21875" customWidth="1"/>
    <col min="31" max="31" width="11.109375" customWidth="1"/>
    <col min="32" max="32" width="10.109375" customWidth="1"/>
    <col min="33" max="33" width="11.5546875" customWidth="1"/>
    <col min="34" max="34" width="11.77734375" customWidth="1"/>
    <col min="35" max="35" width="11.21875" customWidth="1"/>
    <col min="36" max="36" width="11.5546875" customWidth="1"/>
    <col min="37" max="38" width="11.88671875" customWidth="1"/>
    <col min="39" max="39" width="11.33203125" customWidth="1"/>
    <col min="40" max="40" width="11.88671875" customWidth="1"/>
    <col min="41" max="41" width="10.88671875" customWidth="1"/>
    <col min="42" max="42" width="10.77734375" customWidth="1"/>
    <col min="43" max="43" width="12" customWidth="1"/>
    <col min="44" max="45" width="10.88671875" customWidth="1"/>
    <col min="46" max="46" width="11" customWidth="1"/>
    <col min="47" max="47" width="11.33203125" customWidth="1"/>
    <col min="48" max="48" width="10.77734375" customWidth="1"/>
    <col min="49" max="49" width="11.109375" customWidth="1"/>
    <col min="50" max="50" width="11.21875" customWidth="1"/>
    <col min="51" max="52" width="11.88671875" customWidth="1"/>
  </cols>
  <sheetData>
    <row r="1" spans="1:52" x14ac:dyDescent="0.3">
      <c r="A1" t="s">
        <v>0</v>
      </c>
      <c r="B1">
        <v>1975</v>
      </c>
      <c r="C1">
        <v>1976</v>
      </c>
      <c r="D1">
        <v>1977</v>
      </c>
      <c r="E1">
        <v>1978</v>
      </c>
      <c r="F1">
        <v>1979</v>
      </c>
      <c r="G1">
        <v>1980</v>
      </c>
      <c r="H1">
        <v>1981</v>
      </c>
      <c r="I1">
        <v>1982</v>
      </c>
      <c r="J1">
        <v>1983</v>
      </c>
      <c r="K1">
        <v>1984</v>
      </c>
      <c r="L1">
        <v>1985</v>
      </c>
      <c r="M1">
        <v>1986</v>
      </c>
      <c r="N1">
        <v>1987</v>
      </c>
      <c r="O1">
        <v>1988</v>
      </c>
      <c r="P1">
        <v>1989</v>
      </c>
      <c r="Q1">
        <v>1990</v>
      </c>
      <c r="R1">
        <v>1991</v>
      </c>
      <c r="S1">
        <v>1992</v>
      </c>
      <c r="T1">
        <v>1993</v>
      </c>
      <c r="U1">
        <v>1994</v>
      </c>
      <c r="V1">
        <v>1995</v>
      </c>
      <c r="W1">
        <v>1996</v>
      </c>
      <c r="X1">
        <v>1997</v>
      </c>
      <c r="Y1">
        <v>1998</v>
      </c>
      <c r="Z1">
        <v>1999</v>
      </c>
      <c r="AA1">
        <v>2000</v>
      </c>
      <c r="AB1">
        <v>2001</v>
      </c>
      <c r="AC1">
        <v>2002</v>
      </c>
      <c r="AD1">
        <v>2003</v>
      </c>
      <c r="AE1">
        <v>2004</v>
      </c>
      <c r="AF1">
        <v>2005</v>
      </c>
      <c r="AG1">
        <v>2006</v>
      </c>
      <c r="AH1">
        <v>2007</v>
      </c>
      <c r="AI1">
        <v>2008</v>
      </c>
      <c r="AJ1">
        <v>2009</v>
      </c>
      <c r="AK1">
        <v>2010</v>
      </c>
      <c r="AL1">
        <v>2011</v>
      </c>
      <c r="AM1">
        <v>2012</v>
      </c>
      <c r="AN1">
        <v>2013</v>
      </c>
      <c r="AO1">
        <v>2014</v>
      </c>
      <c r="AP1">
        <v>2015</v>
      </c>
      <c r="AQ1">
        <v>2016</v>
      </c>
      <c r="AR1">
        <v>2017</v>
      </c>
      <c r="AS1">
        <v>2018</v>
      </c>
      <c r="AT1">
        <v>2019</v>
      </c>
      <c r="AU1">
        <v>2020</v>
      </c>
      <c r="AV1">
        <v>2021</v>
      </c>
      <c r="AW1">
        <v>2022</v>
      </c>
      <c r="AX1">
        <v>2023</v>
      </c>
      <c r="AY1">
        <v>2024</v>
      </c>
      <c r="AZ1">
        <v>2025</v>
      </c>
    </row>
    <row r="2" spans="1:52" x14ac:dyDescent="0.3">
      <c r="A2" t="s">
        <v>5</v>
      </c>
      <c r="B2" s="1">
        <v>4147</v>
      </c>
      <c r="C2" s="1">
        <v>3981</v>
      </c>
      <c r="D2" s="1">
        <v>4344</v>
      </c>
      <c r="E2" s="1">
        <v>4845</v>
      </c>
      <c r="F2" s="1">
        <v>5380</v>
      </c>
      <c r="G2" s="1">
        <v>8730</v>
      </c>
      <c r="H2" s="1">
        <v>8170</v>
      </c>
      <c r="I2" s="1">
        <v>8170</v>
      </c>
      <c r="J2" s="1">
        <v>8514</v>
      </c>
      <c r="K2" s="1">
        <v>9025</v>
      </c>
      <c r="L2" s="1">
        <v>11119</v>
      </c>
      <c r="M2" s="1">
        <v>10411</v>
      </c>
      <c r="N2" s="1">
        <v>11900</v>
      </c>
      <c r="O2" s="1">
        <v>12909</v>
      </c>
      <c r="P2" s="1">
        <v>15017</v>
      </c>
      <c r="Q2" s="1">
        <v>16529</v>
      </c>
      <c r="R2" s="1">
        <v>16022</v>
      </c>
      <c r="S2" s="1">
        <v>12354</v>
      </c>
      <c r="T2" s="1">
        <v>8966</v>
      </c>
      <c r="U2" s="1">
        <v>6529</v>
      </c>
      <c r="V2" s="1">
        <v>8148</v>
      </c>
      <c r="W2" s="1">
        <v>10510</v>
      </c>
      <c r="X2" s="1">
        <v>12344</v>
      </c>
      <c r="Y2" s="1">
        <v>10464</v>
      </c>
      <c r="Z2" s="1">
        <v>9895</v>
      </c>
      <c r="AA2" s="1">
        <v>12646</v>
      </c>
      <c r="AB2" s="1">
        <v>12378</v>
      </c>
      <c r="AC2" s="1">
        <v>17312</v>
      </c>
      <c r="AD2" s="1">
        <v>20342</v>
      </c>
      <c r="AE2" s="1">
        <v>26998</v>
      </c>
      <c r="AF2" s="1">
        <v>41397</v>
      </c>
      <c r="AG2" s="1">
        <v>58654</v>
      </c>
      <c r="AH2" s="1">
        <v>73038</v>
      </c>
      <c r="AI2" s="1">
        <v>98790</v>
      </c>
      <c r="AJ2" s="1">
        <v>81705</v>
      </c>
      <c r="AK2" s="1">
        <v>95547</v>
      </c>
      <c r="AL2" s="1">
        <v>125552</v>
      </c>
      <c r="AM2" s="1">
        <v>143573</v>
      </c>
      <c r="AN2" s="1">
        <v>153761</v>
      </c>
      <c r="AO2" s="1">
        <v>164448</v>
      </c>
      <c r="AP2" s="1">
        <v>131661</v>
      </c>
      <c r="AQ2" s="1">
        <v>114764</v>
      </c>
      <c r="AR2" s="1">
        <v>139835</v>
      </c>
      <c r="AS2" s="1">
        <v>114189</v>
      </c>
      <c r="AT2" s="1">
        <v>94671</v>
      </c>
      <c r="AU2" s="1">
        <v>66521</v>
      </c>
      <c r="AV2" s="1">
        <v>84375</v>
      </c>
      <c r="AW2" s="1">
        <v>142442</v>
      </c>
      <c r="AX2" s="1">
        <v>109764</v>
      </c>
      <c r="AY2" s="1">
        <v>115946</v>
      </c>
      <c r="AZ2" s="1">
        <v>113343</v>
      </c>
    </row>
    <row r="3" spans="1:52" x14ac:dyDescent="0.3">
      <c r="A3" t="s">
        <v>6</v>
      </c>
      <c r="B3" s="1">
        <v>85</v>
      </c>
      <c r="C3" s="1">
        <v>71</v>
      </c>
      <c r="D3" s="1">
        <v>81</v>
      </c>
      <c r="E3" s="1">
        <v>92</v>
      </c>
      <c r="F3" s="1">
        <v>113</v>
      </c>
      <c r="G3" s="1">
        <v>132</v>
      </c>
      <c r="H3" s="1">
        <v>149</v>
      </c>
      <c r="I3" s="1">
        <v>166</v>
      </c>
      <c r="J3" s="1">
        <v>185</v>
      </c>
      <c r="K3" s="1">
        <v>212</v>
      </c>
      <c r="L3" s="1">
        <v>246</v>
      </c>
      <c r="M3" s="1">
        <v>298</v>
      </c>
      <c r="N3" s="1">
        <v>347</v>
      </c>
      <c r="O3" s="1">
        <v>411</v>
      </c>
      <c r="P3" s="1">
        <v>455</v>
      </c>
      <c r="Q3" s="1">
        <v>479</v>
      </c>
      <c r="R3" s="1">
        <v>504</v>
      </c>
      <c r="S3" s="1">
        <v>525</v>
      </c>
      <c r="T3" s="1">
        <v>566</v>
      </c>
      <c r="U3" s="1">
        <v>625</v>
      </c>
      <c r="V3" s="1">
        <v>616</v>
      </c>
      <c r="W3" s="1">
        <v>679</v>
      </c>
      <c r="X3" s="1">
        <v>734</v>
      </c>
      <c r="Y3" s="1">
        <v>790</v>
      </c>
      <c r="Z3" s="1">
        <v>836</v>
      </c>
      <c r="AA3" s="1">
        <v>901</v>
      </c>
      <c r="AB3" s="1">
        <v>878</v>
      </c>
      <c r="AC3" s="1">
        <v>898</v>
      </c>
      <c r="AD3" s="1">
        <v>948</v>
      </c>
      <c r="AE3" s="1">
        <v>1026</v>
      </c>
      <c r="AF3" s="1">
        <v>1144</v>
      </c>
      <c r="AG3" s="1">
        <v>1304</v>
      </c>
      <c r="AH3" s="1">
        <v>1487</v>
      </c>
      <c r="AI3" s="1">
        <v>1558</v>
      </c>
      <c r="AJ3" s="1">
        <v>1387</v>
      </c>
      <c r="AK3" s="1">
        <v>1298</v>
      </c>
      <c r="AL3" s="1">
        <v>1287</v>
      </c>
      <c r="AM3" s="1">
        <v>1365</v>
      </c>
      <c r="AN3" s="1">
        <v>1325</v>
      </c>
      <c r="AO3" s="1">
        <v>1379</v>
      </c>
      <c r="AP3" s="1">
        <v>1437</v>
      </c>
      <c r="AQ3" s="1">
        <v>1490</v>
      </c>
      <c r="AR3" s="1">
        <v>1535</v>
      </c>
      <c r="AS3" s="1">
        <v>1662</v>
      </c>
      <c r="AT3" s="1">
        <v>1726</v>
      </c>
      <c r="AU3" s="1">
        <v>1412</v>
      </c>
      <c r="AV3" s="1">
        <v>1602</v>
      </c>
      <c r="AW3" s="1">
        <v>1867</v>
      </c>
      <c r="AX3" s="1">
        <v>2006</v>
      </c>
      <c r="AY3" s="1">
        <v>2225</v>
      </c>
      <c r="AZ3" s="1">
        <v>2373</v>
      </c>
    </row>
    <row r="4" spans="1:52" x14ac:dyDescent="0.3">
      <c r="A4" t="s">
        <v>8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>
        <v>108</v>
      </c>
      <c r="T4" s="1">
        <v>835</v>
      </c>
      <c r="U4" s="1">
        <v>648</v>
      </c>
      <c r="V4" s="1">
        <v>1287</v>
      </c>
      <c r="W4" s="1">
        <v>1597</v>
      </c>
      <c r="X4" s="1">
        <v>1639</v>
      </c>
      <c r="Y4" s="1">
        <v>1892</v>
      </c>
      <c r="Z4" s="1">
        <v>1845</v>
      </c>
      <c r="AA4" s="1">
        <v>1912</v>
      </c>
      <c r="AB4" s="1">
        <v>2118</v>
      </c>
      <c r="AC4" s="1">
        <v>2376</v>
      </c>
      <c r="AD4" s="1">
        <v>2807</v>
      </c>
      <c r="AE4" s="1">
        <v>3577</v>
      </c>
      <c r="AF4" s="1">
        <v>4900</v>
      </c>
      <c r="AG4" s="1">
        <v>6384</v>
      </c>
      <c r="AH4" s="1">
        <v>9206</v>
      </c>
      <c r="AI4" s="1">
        <v>11662</v>
      </c>
      <c r="AJ4" s="1">
        <v>8648</v>
      </c>
      <c r="AK4" s="1">
        <v>9260</v>
      </c>
      <c r="AL4" s="1">
        <v>10142</v>
      </c>
      <c r="AM4" s="1">
        <v>10619</v>
      </c>
      <c r="AN4" s="1">
        <v>11121</v>
      </c>
      <c r="AO4" s="1">
        <v>11610</v>
      </c>
      <c r="AP4" s="1">
        <v>10553</v>
      </c>
      <c r="AQ4" s="1">
        <v>10546</v>
      </c>
      <c r="AR4" s="1">
        <v>11527</v>
      </c>
      <c r="AS4" s="1">
        <v>12458</v>
      </c>
      <c r="AT4" s="1">
        <v>13619</v>
      </c>
      <c r="AU4" s="1">
        <v>12642</v>
      </c>
      <c r="AV4" s="1">
        <v>13879</v>
      </c>
      <c r="AW4" s="1">
        <v>19514</v>
      </c>
      <c r="AX4" s="1">
        <v>24086</v>
      </c>
      <c r="AY4" s="1">
        <v>25533</v>
      </c>
      <c r="AZ4" s="1">
        <v>26258</v>
      </c>
    </row>
    <row r="5" spans="1:52" x14ac:dyDescent="0.3">
      <c r="A5" t="s">
        <v>12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>
        <v>1193</v>
      </c>
      <c r="T5" s="1">
        <v>1309</v>
      </c>
      <c r="U5" s="1">
        <v>2258</v>
      </c>
      <c r="V5" s="1">
        <v>2417</v>
      </c>
      <c r="W5" s="1">
        <v>3177</v>
      </c>
      <c r="X5" s="1">
        <v>4317</v>
      </c>
      <c r="Y5" s="1">
        <v>4280</v>
      </c>
      <c r="Z5" s="1">
        <v>4581</v>
      </c>
      <c r="AA5" s="1">
        <v>5273</v>
      </c>
      <c r="AB5" s="1">
        <v>5475</v>
      </c>
      <c r="AC5" s="1">
        <v>6232</v>
      </c>
      <c r="AD5" s="1">
        <v>7276</v>
      </c>
      <c r="AE5" s="1">
        <v>8682</v>
      </c>
      <c r="AF5" s="1">
        <v>13239</v>
      </c>
      <c r="AG5" s="1">
        <v>20983</v>
      </c>
      <c r="AH5" s="1">
        <v>33050</v>
      </c>
      <c r="AI5" s="1">
        <v>48852</v>
      </c>
      <c r="AJ5" s="1">
        <v>44297</v>
      </c>
      <c r="AK5" s="1">
        <v>52909</v>
      </c>
      <c r="AL5" s="1">
        <v>65952</v>
      </c>
      <c r="AM5" s="1">
        <v>69684</v>
      </c>
      <c r="AN5" s="1">
        <v>74164</v>
      </c>
      <c r="AO5" s="1">
        <v>75235</v>
      </c>
      <c r="AP5" s="1">
        <v>52997</v>
      </c>
      <c r="AQ5" s="1">
        <v>37830</v>
      </c>
      <c r="AR5" s="1">
        <v>41375</v>
      </c>
      <c r="AS5" s="1">
        <v>47113</v>
      </c>
      <c r="AT5" s="1">
        <v>48174</v>
      </c>
      <c r="AU5" s="1">
        <v>42693</v>
      </c>
      <c r="AV5" s="1">
        <v>54825</v>
      </c>
      <c r="AW5" s="1">
        <v>78807</v>
      </c>
      <c r="AX5" s="1">
        <v>72428</v>
      </c>
      <c r="AY5" s="1">
        <v>74316</v>
      </c>
      <c r="AZ5" s="1">
        <v>78870</v>
      </c>
    </row>
    <row r="6" spans="1:52" x14ac:dyDescent="0.3">
      <c r="A6" t="s">
        <v>14</v>
      </c>
      <c r="B6" s="1">
        <v>1185</v>
      </c>
      <c r="C6" s="1">
        <v>1705</v>
      </c>
      <c r="D6" s="1">
        <v>2144</v>
      </c>
      <c r="E6" s="1">
        <v>2449</v>
      </c>
      <c r="F6" s="1">
        <v>2920</v>
      </c>
      <c r="G6" s="1">
        <v>3745</v>
      </c>
      <c r="H6" s="1">
        <v>4228</v>
      </c>
      <c r="I6" s="1">
        <v>4445</v>
      </c>
      <c r="J6" s="1">
        <v>4554</v>
      </c>
      <c r="K6" s="1">
        <v>4727</v>
      </c>
      <c r="L6" s="1">
        <v>4460</v>
      </c>
      <c r="M6" s="1">
        <v>3490</v>
      </c>
      <c r="N6" s="1">
        <v>3780</v>
      </c>
      <c r="O6" s="1">
        <v>4672</v>
      </c>
      <c r="P6" s="1">
        <v>4873</v>
      </c>
      <c r="Q6" s="1">
        <v>5176</v>
      </c>
      <c r="R6" s="1">
        <v>5430</v>
      </c>
      <c r="S6" s="1">
        <v>5673</v>
      </c>
      <c r="T6" s="1">
        <v>6241</v>
      </c>
      <c r="U6" s="1">
        <v>6683</v>
      </c>
      <c r="V6" s="1">
        <v>7075</v>
      </c>
      <c r="W6" s="1">
        <v>7357</v>
      </c>
      <c r="X6" s="1">
        <v>7629</v>
      </c>
      <c r="Y6" s="1">
        <v>7293</v>
      </c>
      <c r="Z6" s="1">
        <v>7905</v>
      </c>
      <c r="AA6" s="1">
        <v>9448</v>
      </c>
      <c r="AB6" s="1">
        <v>9579</v>
      </c>
      <c r="AC6" s="1">
        <v>10001</v>
      </c>
      <c r="AD6" s="1">
        <v>11546</v>
      </c>
      <c r="AE6" s="1">
        <v>13709</v>
      </c>
      <c r="AF6" s="1">
        <v>16647</v>
      </c>
      <c r="AG6" s="1">
        <v>19291</v>
      </c>
      <c r="AH6" s="1">
        <v>22653</v>
      </c>
      <c r="AI6" s="1">
        <v>26803</v>
      </c>
      <c r="AJ6" s="1">
        <v>23913</v>
      </c>
      <c r="AK6" s="1">
        <v>26806</v>
      </c>
      <c r="AL6" s="1">
        <v>29915</v>
      </c>
      <c r="AM6" s="1">
        <v>31963</v>
      </c>
      <c r="AN6" s="1">
        <v>33823</v>
      </c>
      <c r="AO6" s="1">
        <v>34773</v>
      </c>
      <c r="AP6" s="1">
        <v>32523</v>
      </c>
      <c r="AQ6" s="1">
        <v>33885</v>
      </c>
      <c r="AR6" s="1">
        <v>37205</v>
      </c>
      <c r="AS6" s="1">
        <v>39568</v>
      </c>
      <c r="AT6" s="1">
        <v>40447</v>
      </c>
      <c r="AU6" s="1">
        <v>35838</v>
      </c>
      <c r="AV6" s="1">
        <v>40840</v>
      </c>
      <c r="AW6" s="1">
        <v>46458</v>
      </c>
      <c r="AX6" s="1">
        <v>46192</v>
      </c>
      <c r="AY6" s="1">
        <v>46943</v>
      </c>
      <c r="AZ6" s="1">
        <v>47829</v>
      </c>
    </row>
    <row r="7" spans="1:52" x14ac:dyDescent="0.3">
      <c r="A7" t="s">
        <v>15</v>
      </c>
      <c r="B7" s="1">
        <v>8476</v>
      </c>
      <c r="C7" s="1">
        <v>9447</v>
      </c>
      <c r="D7" s="1">
        <v>9950</v>
      </c>
      <c r="E7" s="1">
        <v>12751</v>
      </c>
      <c r="F7" s="1">
        <v>14758</v>
      </c>
      <c r="G7" s="1">
        <v>24775</v>
      </c>
      <c r="H7" s="1">
        <v>26355</v>
      </c>
      <c r="I7" s="1">
        <v>24678</v>
      </c>
      <c r="J7" s="1">
        <v>23904</v>
      </c>
      <c r="K7" s="1">
        <v>26817</v>
      </c>
      <c r="L7" s="1">
        <v>28819</v>
      </c>
      <c r="M7" s="1">
        <v>29639</v>
      </c>
      <c r="N7" s="1">
        <v>32449</v>
      </c>
      <c r="O7" s="1">
        <v>34914</v>
      </c>
      <c r="P7" s="1">
        <v>38070</v>
      </c>
      <c r="Q7" s="1">
        <v>41068</v>
      </c>
      <c r="R7" s="1">
        <v>42488</v>
      </c>
      <c r="S7" s="1">
        <v>43292</v>
      </c>
      <c r="T7" s="1">
        <v>43684</v>
      </c>
      <c r="U7" s="1">
        <v>46438</v>
      </c>
      <c r="V7" s="1">
        <v>51842</v>
      </c>
      <c r="W7" s="1">
        <v>55445</v>
      </c>
      <c r="X7" s="1">
        <v>57599</v>
      </c>
      <c r="Y7" s="1">
        <v>59879</v>
      </c>
      <c r="Z7" s="1">
        <v>61526</v>
      </c>
      <c r="AA7" s="1">
        <v>61687</v>
      </c>
      <c r="AB7" s="1">
        <v>62537</v>
      </c>
      <c r="AC7" s="1">
        <v>65036</v>
      </c>
      <c r="AD7" s="1">
        <v>71755</v>
      </c>
      <c r="AE7" s="1">
        <v>77152</v>
      </c>
      <c r="AF7" s="1">
        <v>79530</v>
      </c>
      <c r="AG7" s="1">
        <v>86028</v>
      </c>
      <c r="AH7" s="1">
        <v>95374</v>
      </c>
      <c r="AI7" s="1">
        <v>109765</v>
      </c>
      <c r="AJ7" s="1">
        <v>122760</v>
      </c>
      <c r="AK7" s="1">
        <v>138094</v>
      </c>
      <c r="AL7" s="1">
        <v>154097</v>
      </c>
      <c r="AM7" s="1">
        <v>159749</v>
      </c>
      <c r="AN7" s="1">
        <v>179676</v>
      </c>
      <c r="AO7" s="1">
        <v>207102</v>
      </c>
      <c r="AP7" s="1">
        <v>233687</v>
      </c>
      <c r="AQ7" s="1">
        <v>265236</v>
      </c>
      <c r="AR7" s="1">
        <v>293755</v>
      </c>
      <c r="AS7" s="1">
        <v>321379</v>
      </c>
      <c r="AT7" s="1">
        <v>351238</v>
      </c>
      <c r="AU7" s="1">
        <v>373902</v>
      </c>
      <c r="AV7" s="1">
        <v>416265</v>
      </c>
      <c r="AW7" s="1">
        <v>460201</v>
      </c>
      <c r="AX7" s="1">
        <v>451534</v>
      </c>
      <c r="AY7" s="1">
        <v>451096</v>
      </c>
      <c r="AZ7" s="1">
        <v>467218</v>
      </c>
    </row>
    <row r="8" spans="1:52" x14ac:dyDescent="0.3">
      <c r="A8" t="s">
        <v>17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>
        <v>12800</v>
      </c>
      <c r="T8" s="1">
        <v>11408</v>
      </c>
      <c r="U8" s="1">
        <v>15687</v>
      </c>
      <c r="V8" s="1">
        <v>10532</v>
      </c>
      <c r="W8" s="1">
        <v>14494</v>
      </c>
      <c r="X8" s="1">
        <v>14091</v>
      </c>
      <c r="Y8" s="1">
        <v>15215</v>
      </c>
      <c r="Z8" s="1">
        <v>12133</v>
      </c>
      <c r="AA8" s="1">
        <v>10785</v>
      </c>
      <c r="AB8" s="1">
        <v>12778</v>
      </c>
      <c r="AC8" s="1">
        <v>15092</v>
      </c>
      <c r="AD8" s="1">
        <v>18420</v>
      </c>
      <c r="AE8" s="1">
        <v>23928</v>
      </c>
      <c r="AF8" s="1">
        <v>31239</v>
      </c>
      <c r="AG8" s="1">
        <v>38219</v>
      </c>
      <c r="AH8" s="1">
        <v>46815</v>
      </c>
      <c r="AI8" s="1">
        <v>62798</v>
      </c>
      <c r="AJ8" s="1">
        <v>50855</v>
      </c>
      <c r="AK8" s="1">
        <v>57220</v>
      </c>
      <c r="AL8" s="1">
        <v>61368</v>
      </c>
      <c r="AM8" s="1">
        <v>65669</v>
      </c>
      <c r="AN8" s="1">
        <v>75496</v>
      </c>
      <c r="AO8" s="1">
        <v>78736</v>
      </c>
      <c r="AP8" s="1">
        <v>56329</v>
      </c>
      <c r="AQ8" s="1">
        <v>47703</v>
      </c>
      <c r="AR8" s="1">
        <v>54723</v>
      </c>
      <c r="AS8" s="1">
        <v>60011</v>
      </c>
      <c r="AT8" s="1">
        <v>64414</v>
      </c>
      <c r="AU8" s="1">
        <v>61312</v>
      </c>
      <c r="AV8" s="1">
        <v>68207</v>
      </c>
      <c r="AW8" s="1">
        <v>73735</v>
      </c>
      <c r="AX8" s="1">
        <v>71792</v>
      </c>
      <c r="AY8" s="1">
        <v>71180</v>
      </c>
      <c r="AZ8" s="1">
        <v>71561</v>
      </c>
    </row>
    <row r="9" spans="1:52" x14ac:dyDescent="0.3">
      <c r="A9" t="s">
        <v>19</v>
      </c>
      <c r="B9" s="1">
        <v>104</v>
      </c>
      <c r="C9" s="1">
        <v>82</v>
      </c>
      <c r="D9" s="1">
        <v>106</v>
      </c>
      <c r="E9" s="1">
        <v>121</v>
      </c>
      <c r="F9" s="1">
        <v>141</v>
      </c>
      <c r="G9" s="1">
        <v>229</v>
      </c>
      <c r="H9" s="1">
        <v>238</v>
      </c>
      <c r="I9" s="1">
        <v>238</v>
      </c>
      <c r="J9" s="1">
        <v>251</v>
      </c>
      <c r="K9" s="1">
        <v>280</v>
      </c>
      <c r="L9" s="1">
        <v>278</v>
      </c>
      <c r="M9" s="1">
        <v>303</v>
      </c>
      <c r="N9" s="1">
        <v>354</v>
      </c>
      <c r="O9" s="1">
        <v>418</v>
      </c>
      <c r="P9" s="1">
        <v>482</v>
      </c>
      <c r="Q9" s="1">
        <v>547</v>
      </c>
      <c r="R9" s="1">
        <v>597</v>
      </c>
      <c r="S9" s="1">
        <v>696</v>
      </c>
      <c r="T9" s="1">
        <v>753</v>
      </c>
      <c r="U9" s="1">
        <v>772</v>
      </c>
      <c r="V9" s="1">
        <v>819</v>
      </c>
      <c r="W9" s="1">
        <v>851</v>
      </c>
      <c r="X9" s="1">
        <v>873</v>
      </c>
      <c r="Y9" s="1">
        <v>929</v>
      </c>
      <c r="Z9" s="1">
        <v>1000</v>
      </c>
      <c r="AA9" s="1">
        <v>1139</v>
      </c>
      <c r="AB9" s="1">
        <v>1173</v>
      </c>
      <c r="AC9" s="1">
        <v>1245</v>
      </c>
      <c r="AD9" s="1">
        <v>1309</v>
      </c>
      <c r="AE9" s="1">
        <v>1401</v>
      </c>
      <c r="AF9" s="1">
        <v>1475</v>
      </c>
      <c r="AG9" s="1">
        <v>1591</v>
      </c>
      <c r="AH9" s="1">
        <v>1707</v>
      </c>
      <c r="AI9" s="1">
        <v>1739</v>
      </c>
      <c r="AJ9" s="1">
        <v>1688</v>
      </c>
      <c r="AK9" s="1">
        <v>1746</v>
      </c>
      <c r="AL9" s="1">
        <v>1827</v>
      </c>
      <c r="AM9" s="1">
        <v>1909</v>
      </c>
      <c r="AN9" s="1">
        <v>2033</v>
      </c>
      <c r="AO9" s="1">
        <v>2138</v>
      </c>
      <c r="AP9" s="1">
        <v>2193</v>
      </c>
      <c r="AQ9" s="1">
        <v>2240</v>
      </c>
      <c r="AR9" s="1">
        <v>2266</v>
      </c>
      <c r="AS9" s="1">
        <v>2293</v>
      </c>
      <c r="AT9" s="1">
        <v>2388</v>
      </c>
      <c r="AU9" s="1">
        <v>2043</v>
      </c>
      <c r="AV9" s="1">
        <v>2421</v>
      </c>
      <c r="AW9" s="1">
        <v>2847</v>
      </c>
      <c r="AX9" s="1">
        <v>3067</v>
      </c>
      <c r="AY9" s="1">
        <v>3427</v>
      </c>
      <c r="AZ9" s="1">
        <v>3611</v>
      </c>
    </row>
    <row r="10" spans="1:52" x14ac:dyDescent="0.3">
      <c r="A10" t="s">
        <v>23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>
        <v>3584</v>
      </c>
      <c r="X10" s="1">
        <v>4578</v>
      </c>
      <c r="Y10" s="1">
        <v>5281</v>
      </c>
      <c r="Z10" s="1">
        <v>5766</v>
      </c>
      <c r="AA10" s="1">
        <v>5568</v>
      </c>
      <c r="AB10" s="1">
        <v>5801</v>
      </c>
      <c r="AC10" s="1">
        <v>6728</v>
      </c>
      <c r="AD10" s="1">
        <v>8499</v>
      </c>
      <c r="AE10" s="1">
        <v>10157</v>
      </c>
      <c r="AF10" s="1">
        <v>11223</v>
      </c>
      <c r="AG10" s="1">
        <v>12865</v>
      </c>
      <c r="AH10" s="1">
        <v>15779</v>
      </c>
      <c r="AI10" s="1">
        <v>19113</v>
      </c>
      <c r="AJ10" s="1">
        <v>17614</v>
      </c>
      <c r="AK10" s="1">
        <v>17176</v>
      </c>
      <c r="AL10" s="1">
        <v>18644</v>
      </c>
      <c r="AM10" s="1">
        <v>17227</v>
      </c>
      <c r="AN10" s="1">
        <v>18179</v>
      </c>
      <c r="AO10" s="1">
        <v>18559</v>
      </c>
      <c r="AP10" s="1">
        <v>16404</v>
      </c>
      <c r="AQ10" s="1">
        <v>17117</v>
      </c>
      <c r="AR10" s="1">
        <v>18326</v>
      </c>
      <c r="AS10" s="1">
        <v>20484</v>
      </c>
      <c r="AT10" s="1">
        <v>20483</v>
      </c>
      <c r="AU10" s="1">
        <v>20226</v>
      </c>
      <c r="AV10" s="1">
        <v>23673</v>
      </c>
      <c r="AW10" s="1">
        <v>24535</v>
      </c>
      <c r="AX10" s="1">
        <v>27592</v>
      </c>
      <c r="AY10" s="1">
        <v>28795</v>
      </c>
      <c r="AZ10" s="1">
        <v>28807</v>
      </c>
    </row>
    <row r="11" spans="1:52" x14ac:dyDescent="0.3">
      <c r="A11" t="s">
        <v>26</v>
      </c>
      <c r="B11" s="1">
        <v>1467</v>
      </c>
      <c r="C11" s="1">
        <v>1787</v>
      </c>
      <c r="D11" s="1">
        <v>2176</v>
      </c>
      <c r="E11" s="1">
        <v>2439</v>
      </c>
      <c r="F11" s="1">
        <v>3522</v>
      </c>
      <c r="G11" s="1"/>
      <c r="H11" s="1"/>
      <c r="I11" s="1"/>
      <c r="J11" s="1"/>
      <c r="K11" s="1"/>
      <c r="L11" s="1">
        <v>5470</v>
      </c>
      <c r="M11" s="1">
        <v>3727</v>
      </c>
      <c r="N11" s="1">
        <v>4384</v>
      </c>
      <c r="O11" s="1">
        <v>4177</v>
      </c>
      <c r="P11" s="1">
        <v>4652</v>
      </c>
      <c r="Q11" s="1">
        <v>5574</v>
      </c>
      <c r="R11" s="1">
        <v>5949</v>
      </c>
      <c r="S11" s="1">
        <v>6256</v>
      </c>
      <c r="T11" s="1">
        <v>6327</v>
      </c>
      <c r="U11" s="1">
        <v>6795</v>
      </c>
      <c r="V11" s="1">
        <v>8098</v>
      </c>
      <c r="W11" s="1">
        <v>8156</v>
      </c>
      <c r="X11" s="1">
        <v>7974</v>
      </c>
      <c r="Y11" s="1">
        <v>6061</v>
      </c>
      <c r="Z11" s="1">
        <v>6544</v>
      </c>
      <c r="AA11" s="1">
        <v>6650</v>
      </c>
      <c r="AB11" s="1">
        <v>6206</v>
      </c>
      <c r="AC11" s="1">
        <v>6475</v>
      </c>
      <c r="AD11" s="1">
        <v>7266</v>
      </c>
      <c r="AE11" s="1">
        <v>8723</v>
      </c>
      <c r="AF11" s="1">
        <v>10561</v>
      </c>
      <c r="AG11" s="1">
        <v>12710</v>
      </c>
      <c r="AH11" s="1">
        <v>13571</v>
      </c>
      <c r="AI11" s="1">
        <v>15949</v>
      </c>
      <c r="AJ11" s="1">
        <v>11892</v>
      </c>
      <c r="AK11" s="1">
        <v>13707</v>
      </c>
      <c r="AL11" s="1">
        <v>18525</v>
      </c>
      <c r="AM11" s="1">
        <v>19048</v>
      </c>
      <c r="AN11" s="1">
        <v>18094</v>
      </c>
      <c r="AO11" s="1">
        <v>17098</v>
      </c>
      <c r="AP11" s="1">
        <v>12930</v>
      </c>
      <c r="AQ11" s="1">
        <v>11400</v>
      </c>
      <c r="AR11" s="1">
        <v>12128</v>
      </c>
      <c r="AS11" s="1">
        <v>13567</v>
      </c>
      <c r="AT11" s="1">
        <v>13469</v>
      </c>
      <c r="AU11" s="1">
        <v>12006</v>
      </c>
      <c r="AV11" s="1">
        <v>14006</v>
      </c>
      <c r="AW11" s="1">
        <v>16682</v>
      </c>
      <c r="AX11" s="1">
        <v>15095</v>
      </c>
      <c r="AY11" s="1">
        <v>15463</v>
      </c>
      <c r="AZ11" s="1">
        <v>16007</v>
      </c>
    </row>
    <row r="12" spans="1:52" x14ac:dyDescent="0.3">
      <c r="A12" t="s">
        <v>33</v>
      </c>
      <c r="B12" s="1">
        <v>118</v>
      </c>
      <c r="C12" s="1">
        <v>110</v>
      </c>
      <c r="D12" s="1">
        <v>103</v>
      </c>
      <c r="E12" s="1">
        <v>119</v>
      </c>
      <c r="F12" s="1">
        <v>127</v>
      </c>
      <c r="G12" s="1">
        <v>157</v>
      </c>
      <c r="H12" s="1">
        <v>187</v>
      </c>
      <c r="I12" s="1">
        <v>149</v>
      </c>
      <c r="J12" s="1">
        <v>144</v>
      </c>
      <c r="K12" s="1">
        <v>146</v>
      </c>
      <c r="L12" s="1">
        <v>164</v>
      </c>
      <c r="M12" s="1">
        <v>212</v>
      </c>
      <c r="N12" s="1">
        <v>264</v>
      </c>
      <c r="O12" s="1">
        <v>322</v>
      </c>
      <c r="P12" s="1">
        <v>332</v>
      </c>
      <c r="Q12" s="1">
        <v>413</v>
      </c>
      <c r="R12" s="1">
        <v>443</v>
      </c>
      <c r="S12" s="1">
        <v>479</v>
      </c>
      <c r="T12" s="1">
        <v>431</v>
      </c>
      <c r="U12" s="1">
        <v>450</v>
      </c>
      <c r="V12" s="1">
        <v>570</v>
      </c>
      <c r="W12" s="1">
        <v>611</v>
      </c>
      <c r="X12" s="1">
        <v>609</v>
      </c>
      <c r="Y12" s="1">
        <v>648</v>
      </c>
      <c r="Z12" s="1">
        <v>693</v>
      </c>
      <c r="AA12" s="1">
        <v>699</v>
      </c>
      <c r="AB12" s="1">
        <v>791</v>
      </c>
      <c r="AC12" s="1">
        <v>867</v>
      </c>
      <c r="AD12" s="1">
        <v>1105</v>
      </c>
      <c r="AE12" s="1">
        <v>1263</v>
      </c>
      <c r="AF12" s="1">
        <v>1395</v>
      </c>
      <c r="AG12" s="1">
        <v>1452</v>
      </c>
      <c r="AH12" s="1">
        <v>1650</v>
      </c>
      <c r="AI12" s="1">
        <v>1960</v>
      </c>
      <c r="AJ12" s="1">
        <v>1852</v>
      </c>
      <c r="AK12" s="1">
        <v>1825</v>
      </c>
      <c r="AL12" s="1">
        <v>2047</v>
      </c>
      <c r="AM12" s="1">
        <v>1913</v>
      </c>
      <c r="AN12" s="1">
        <v>2029</v>
      </c>
      <c r="AO12" s="1">
        <v>2042</v>
      </c>
      <c r="AP12" s="1">
        <v>1750</v>
      </c>
      <c r="AQ12" s="1">
        <v>1850</v>
      </c>
      <c r="AR12" s="1">
        <v>1997</v>
      </c>
      <c r="AS12" s="1">
        <v>2205</v>
      </c>
      <c r="AT12" s="1">
        <v>2251</v>
      </c>
      <c r="AU12" s="1">
        <v>1831</v>
      </c>
      <c r="AV12" s="1">
        <v>2053</v>
      </c>
      <c r="AW12" s="1">
        <v>2309</v>
      </c>
      <c r="AX12" s="1">
        <v>2588</v>
      </c>
      <c r="AY12" s="1">
        <v>2726</v>
      </c>
      <c r="AZ12" s="1">
        <v>2786</v>
      </c>
    </row>
    <row r="13" spans="1:52" x14ac:dyDescent="0.3">
      <c r="A13" t="s">
        <v>39</v>
      </c>
      <c r="B13" s="1">
        <v>60</v>
      </c>
      <c r="C13" s="1">
        <v>59</v>
      </c>
      <c r="D13" s="1">
        <v>65</v>
      </c>
      <c r="E13" s="1">
        <v>85</v>
      </c>
      <c r="F13" s="1">
        <v>113</v>
      </c>
      <c r="G13" s="1">
        <v>243</v>
      </c>
      <c r="H13" s="1">
        <v>213</v>
      </c>
      <c r="I13" s="1">
        <v>202</v>
      </c>
      <c r="J13" s="1">
        <v>196</v>
      </c>
      <c r="K13" s="1">
        <v>189</v>
      </c>
      <c r="L13" s="1">
        <v>192</v>
      </c>
      <c r="M13" s="1">
        <v>258</v>
      </c>
      <c r="N13" s="1">
        <v>313</v>
      </c>
      <c r="O13" s="1">
        <v>336</v>
      </c>
      <c r="P13" s="1">
        <v>329</v>
      </c>
      <c r="Q13" s="1">
        <v>402</v>
      </c>
      <c r="R13" s="1">
        <v>401</v>
      </c>
      <c r="S13" s="1">
        <v>437</v>
      </c>
      <c r="T13" s="1">
        <v>428</v>
      </c>
      <c r="U13" s="1">
        <v>315</v>
      </c>
      <c r="V13" s="1">
        <v>393</v>
      </c>
      <c r="W13" s="1">
        <v>392</v>
      </c>
      <c r="X13" s="1">
        <v>363</v>
      </c>
      <c r="Y13" s="1">
        <v>364</v>
      </c>
      <c r="Z13" s="1">
        <v>372</v>
      </c>
      <c r="AA13" s="1">
        <v>340</v>
      </c>
      <c r="AB13" s="1">
        <v>373</v>
      </c>
      <c r="AC13" s="1">
        <v>427</v>
      </c>
      <c r="AD13" s="1">
        <v>547</v>
      </c>
      <c r="AE13" s="1">
        <v>622</v>
      </c>
      <c r="AF13" s="1">
        <v>656</v>
      </c>
      <c r="AG13" s="1">
        <v>689</v>
      </c>
      <c r="AH13" s="1">
        <v>796</v>
      </c>
      <c r="AI13" s="1">
        <v>916</v>
      </c>
      <c r="AJ13" s="1">
        <v>904</v>
      </c>
      <c r="AK13" s="1">
        <v>909</v>
      </c>
      <c r="AL13" s="1">
        <v>1023</v>
      </c>
      <c r="AM13" s="1">
        <v>1016</v>
      </c>
      <c r="AN13" s="1">
        <v>1116</v>
      </c>
      <c r="AO13" s="1">
        <v>1150</v>
      </c>
      <c r="AP13" s="1">
        <v>966</v>
      </c>
      <c r="AQ13" s="1">
        <v>1013</v>
      </c>
      <c r="AR13" s="1">
        <v>1077</v>
      </c>
      <c r="AS13" s="1">
        <v>1179</v>
      </c>
      <c r="AT13" s="1">
        <v>1188</v>
      </c>
      <c r="AU13" s="1">
        <v>1218</v>
      </c>
      <c r="AV13" s="1">
        <v>1273</v>
      </c>
      <c r="AW13" s="1">
        <v>1223</v>
      </c>
      <c r="AX13" s="1">
        <v>1335</v>
      </c>
      <c r="AY13" s="1">
        <v>1456</v>
      </c>
      <c r="AZ13" s="1">
        <v>1548</v>
      </c>
    </row>
    <row r="14" spans="1:52" x14ac:dyDescent="0.3">
      <c r="A14" t="s">
        <v>41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>
        <v>568</v>
      </c>
      <c r="T14" s="1">
        <v>7358</v>
      </c>
      <c r="U14" s="1">
        <v>16669</v>
      </c>
      <c r="V14" s="1">
        <v>20657</v>
      </c>
      <c r="W14" s="1">
        <v>22104</v>
      </c>
      <c r="X14" s="1">
        <v>22101</v>
      </c>
      <c r="Y14" s="1">
        <v>23971</v>
      </c>
      <c r="Z14" s="1">
        <v>23593</v>
      </c>
      <c r="AA14" s="1">
        <v>22145</v>
      </c>
      <c r="AB14" s="1">
        <v>23067</v>
      </c>
      <c r="AC14" s="1">
        <v>26739</v>
      </c>
      <c r="AD14" s="1">
        <v>35239</v>
      </c>
      <c r="AE14" s="1">
        <v>41820</v>
      </c>
      <c r="AF14" s="1">
        <v>45035</v>
      </c>
      <c r="AG14" s="1">
        <v>49593</v>
      </c>
      <c r="AH14" s="1">
        <v>59303</v>
      </c>
      <c r="AI14" s="1">
        <v>68469</v>
      </c>
      <c r="AJ14" s="1">
        <v>62255</v>
      </c>
      <c r="AK14" s="1">
        <v>59032</v>
      </c>
      <c r="AL14" s="1">
        <v>62889</v>
      </c>
      <c r="AM14" s="1">
        <v>57585</v>
      </c>
      <c r="AN14" s="1">
        <v>59854</v>
      </c>
      <c r="AO14" s="1">
        <v>59628</v>
      </c>
      <c r="AP14" s="1">
        <v>51012</v>
      </c>
      <c r="AQ14" s="1">
        <v>52640</v>
      </c>
      <c r="AR14" s="1">
        <v>56166</v>
      </c>
      <c r="AS14" s="1">
        <v>61694</v>
      </c>
      <c r="AT14" s="1">
        <v>61472</v>
      </c>
      <c r="AU14" s="1">
        <v>57919</v>
      </c>
      <c r="AV14" s="1">
        <v>69055</v>
      </c>
      <c r="AW14" s="1">
        <v>71260</v>
      </c>
      <c r="AX14" s="1">
        <v>84416</v>
      </c>
      <c r="AY14" s="1">
        <v>92506</v>
      </c>
      <c r="AZ14" s="1">
        <v>98951</v>
      </c>
    </row>
    <row r="15" spans="1:52" x14ac:dyDescent="0.3">
      <c r="A15" t="s">
        <v>48</v>
      </c>
      <c r="B15" s="1">
        <v>157</v>
      </c>
      <c r="C15" s="1">
        <v>187</v>
      </c>
      <c r="D15" s="1">
        <v>201</v>
      </c>
      <c r="E15" s="1">
        <v>221</v>
      </c>
      <c r="F15" s="1">
        <v>264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>
        <v>650</v>
      </c>
      <c r="S15" s="1">
        <v>672</v>
      </c>
      <c r="T15" s="1">
        <v>655</v>
      </c>
      <c r="U15" s="1">
        <v>691</v>
      </c>
      <c r="V15" s="1">
        <v>699</v>
      </c>
      <c r="W15" s="1">
        <v>694</v>
      </c>
      <c r="X15" s="1">
        <v>706</v>
      </c>
      <c r="Y15" s="1">
        <v>722</v>
      </c>
      <c r="Z15" s="1">
        <v>759</v>
      </c>
      <c r="AA15" s="1">
        <v>781</v>
      </c>
      <c r="AB15" s="1">
        <v>811</v>
      </c>
      <c r="AC15" s="1">
        <v>837</v>
      </c>
      <c r="AD15" s="1">
        <v>882</v>
      </c>
      <c r="AE15" s="1">
        <v>936</v>
      </c>
      <c r="AF15" s="1">
        <v>996</v>
      </c>
      <c r="AG15" s="1">
        <v>1080</v>
      </c>
      <c r="AH15" s="1">
        <v>1191</v>
      </c>
      <c r="AI15" s="1">
        <v>1382</v>
      </c>
      <c r="AJ15" s="1">
        <v>1426</v>
      </c>
      <c r="AK15" s="1">
        <v>1544</v>
      </c>
      <c r="AL15" s="1">
        <v>1740</v>
      </c>
      <c r="AM15" s="1">
        <v>1901</v>
      </c>
      <c r="AN15" s="1">
        <v>2044</v>
      </c>
      <c r="AO15" s="1">
        <v>2221</v>
      </c>
      <c r="AP15" s="1">
        <v>2424</v>
      </c>
      <c r="AQ15" s="1">
        <v>2605</v>
      </c>
      <c r="AR15" s="1">
        <v>2763</v>
      </c>
      <c r="AS15" s="1">
        <v>2913</v>
      </c>
      <c r="AT15" s="1">
        <v>3089</v>
      </c>
      <c r="AU15" s="1">
        <v>3144</v>
      </c>
      <c r="AV15" s="1">
        <v>3393</v>
      </c>
      <c r="AW15" s="1">
        <v>3563</v>
      </c>
      <c r="AX15" s="1">
        <v>3917</v>
      </c>
      <c r="AY15" s="1">
        <v>4257</v>
      </c>
      <c r="AZ15" s="1">
        <v>4587</v>
      </c>
    </row>
    <row r="16" spans="1:52" x14ac:dyDescent="0.3">
      <c r="A16" t="s">
        <v>49</v>
      </c>
      <c r="B16" s="1">
        <v>40</v>
      </c>
      <c r="C16" s="1">
        <v>39</v>
      </c>
      <c r="D16" s="1">
        <v>44</v>
      </c>
      <c r="E16" s="1">
        <v>54</v>
      </c>
      <c r="F16" s="1">
        <v>53</v>
      </c>
      <c r="G16" s="1">
        <v>73</v>
      </c>
      <c r="H16" s="1">
        <v>82</v>
      </c>
      <c r="I16" s="1">
        <v>90</v>
      </c>
      <c r="J16" s="1">
        <v>99</v>
      </c>
      <c r="K16" s="1">
        <v>109</v>
      </c>
      <c r="L16" s="1">
        <v>119</v>
      </c>
      <c r="M16" s="1">
        <v>135</v>
      </c>
      <c r="N16" s="1">
        <v>152</v>
      </c>
      <c r="O16" s="1">
        <v>171</v>
      </c>
      <c r="P16" s="1">
        <v>185</v>
      </c>
      <c r="Q16" s="1">
        <v>201</v>
      </c>
      <c r="R16" s="1">
        <v>220</v>
      </c>
      <c r="S16" s="1">
        <v>234</v>
      </c>
      <c r="T16" s="1">
        <v>246</v>
      </c>
      <c r="U16" s="1">
        <v>264</v>
      </c>
      <c r="V16" s="1">
        <v>275</v>
      </c>
      <c r="W16" s="1">
        <v>292</v>
      </c>
      <c r="X16" s="1">
        <v>303</v>
      </c>
      <c r="Y16" s="1">
        <v>322</v>
      </c>
      <c r="Z16" s="1">
        <v>332</v>
      </c>
      <c r="AA16" s="1">
        <v>333</v>
      </c>
      <c r="AB16" s="1">
        <v>340</v>
      </c>
      <c r="AC16" s="1">
        <v>333</v>
      </c>
      <c r="AD16" s="1">
        <v>343</v>
      </c>
      <c r="AE16" s="1">
        <v>367</v>
      </c>
      <c r="AF16" s="1">
        <v>364</v>
      </c>
      <c r="AG16" s="1">
        <v>390</v>
      </c>
      <c r="AH16" s="1">
        <v>421</v>
      </c>
      <c r="AI16" s="1">
        <v>458</v>
      </c>
      <c r="AJ16" s="1">
        <v>489</v>
      </c>
      <c r="AK16" s="1">
        <v>494</v>
      </c>
      <c r="AL16" s="1">
        <v>501</v>
      </c>
      <c r="AM16" s="1">
        <v>486</v>
      </c>
      <c r="AN16" s="1">
        <v>498</v>
      </c>
      <c r="AO16" s="1">
        <v>520</v>
      </c>
      <c r="AP16" s="1">
        <v>541</v>
      </c>
      <c r="AQ16" s="1">
        <v>576</v>
      </c>
      <c r="AR16" s="1">
        <v>522</v>
      </c>
      <c r="AS16" s="1">
        <v>555</v>
      </c>
      <c r="AT16" s="1">
        <v>612</v>
      </c>
      <c r="AU16" s="1">
        <v>504</v>
      </c>
      <c r="AV16" s="1">
        <v>555</v>
      </c>
      <c r="AW16" s="1">
        <v>607</v>
      </c>
      <c r="AX16" s="1">
        <v>654</v>
      </c>
      <c r="AY16" s="1">
        <v>697</v>
      </c>
      <c r="AZ16" s="1">
        <v>742</v>
      </c>
    </row>
    <row r="17" spans="1:52" x14ac:dyDescent="0.3">
      <c r="A17" t="s">
        <v>50</v>
      </c>
      <c r="B17" s="1">
        <v>4439</v>
      </c>
      <c r="C17" s="1">
        <v>4874</v>
      </c>
      <c r="D17" s="1">
        <v>5658</v>
      </c>
      <c r="E17" s="1">
        <v>5839</v>
      </c>
      <c r="F17" s="1">
        <v>6782</v>
      </c>
      <c r="G17" s="1">
        <v>8672</v>
      </c>
      <c r="H17" s="1">
        <v>9698</v>
      </c>
      <c r="I17" s="1">
        <v>9141</v>
      </c>
      <c r="J17" s="1">
        <v>9461</v>
      </c>
      <c r="K17" s="1">
        <v>14870</v>
      </c>
      <c r="L17" s="1">
        <v>6496</v>
      </c>
      <c r="M17" s="1">
        <v>7891</v>
      </c>
      <c r="N17" s="1">
        <v>8305</v>
      </c>
      <c r="O17" s="1">
        <v>7605</v>
      </c>
      <c r="P17" s="1">
        <v>8589</v>
      </c>
      <c r="Q17" s="1">
        <v>7995</v>
      </c>
      <c r="R17" s="1">
        <v>9887</v>
      </c>
      <c r="S17" s="1">
        <v>11605</v>
      </c>
      <c r="T17" s="1">
        <v>13081</v>
      </c>
      <c r="U17" s="1">
        <v>14645</v>
      </c>
      <c r="V17" s="1">
        <v>16637</v>
      </c>
      <c r="W17" s="1">
        <v>18242</v>
      </c>
      <c r="X17" s="1">
        <v>20017</v>
      </c>
      <c r="Y17" s="1">
        <v>21672</v>
      </c>
      <c r="Z17" s="1">
        <v>22137</v>
      </c>
      <c r="AA17" s="1">
        <v>24306</v>
      </c>
      <c r="AB17" s="1">
        <v>25602</v>
      </c>
      <c r="AC17" s="1">
        <v>27249</v>
      </c>
      <c r="AD17" s="1">
        <v>21518</v>
      </c>
      <c r="AE17" s="1">
        <v>22506</v>
      </c>
      <c r="AF17" s="1">
        <v>35948</v>
      </c>
      <c r="AG17" s="1">
        <v>37998</v>
      </c>
      <c r="AH17" s="1">
        <v>44067</v>
      </c>
      <c r="AI17" s="1">
        <v>48174</v>
      </c>
      <c r="AJ17" s="1">
        <v>48281</v>
      </c>
      <c r="AK17" s="1">
        <v>53862</v>
      </c>
      <c r="AL17" s="1">
        <v>58006</v>
      </c>
      <c r="AM17" s="1">
        <v>60627</v>
      </c>
      <c r="AN17" s="1">
        <v>62631</v>
      </c>
      <c r="AO17" s="1">
        <v>67098</v>
      </c>
      <c r="AP17" s="1">
        <v>71056</v>
      </c>
      <c r="AQ17" s="1">
        <v>75625</v>
      </c>
      <c r="AR17" s="1">
        <v>79153</v>
      </c>
      <c r="AS17" s="1">
        <v>85068</v>
      </c>
      <c r="AT17" s="1">
        <v>89237</v>
      </c>
      <c r="AU17" s="1">
        <v>78625</v>
      </c>
      <c r="AV17" s="1">
        <v>95067</v>
      </c>
      <c r="AW17" s="1">
        <v>113813</v>
      </c>
      <c r="AX17" s="1">
        <v>120794</v>
      </c>
      <c r="AY17" s="1">
        <v>124613</v>
      </c>
      <c r="AZ17" s="1">
        <v>127828</v>
      </c>
    </row>
    <row r="18" spans="1:52" x14ac:dyDescent="0.3">
      <c r="A18" t="s">
        <v>55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>
        <v>606</v>
      </c>
      <c r="T18" s="1">
        <v>374</v>
      </c>
      <c r="U18" s="1">
        <v>433</v>
      </c>
      <c r="V18" s="1">
        <v>483</v>
      </c>
      <c r="W18" s="1">
        <v>579</v>
      </c>
      <c r="X18" s="1">
        <v>594</v>
      </c>
      <c r="Y18" s="1">
        <v>626</v>
      </c>
      <c r="Z18" s="1">
        <v>614</v>
      </c>
      <c r="AA18" s="1">
        <v>547</v>
      </c>
      <c r="AB18" s="1">
        <v>582</v>
      </c>
      <c r="AC18" s="1">
        <v>564</v>
      </c>
      <c r="AD18" s="1">
        <v>673</v>
      </c>
      <c r="AE18" s="1">
        <v>858</v>
      </c>
      <c r="AF18" s="1">
        <v>850</v>
      </c>
      <c r="AG18" s="1">
        <v>937</v>
      </c>
      <c r="AH18" s="1">
        <v>1020</v>
      </c>
      <c r="AI18" s="1">
        <v>923</v>
      </c>
      <c r="AJ18" s="1">
        <v>1297</v>
      </c>
      <c r="AK18" s="1">
        <v>1590</v>
      </c>
      <c r="AL18" s="1">
        <v>2065</v>
      </c>
      <c r="AM18" s="1">
        <v>2255</v>
      </c>
      <c r="AN18" s="1">
        <v>1958</v>
      </c>
      <c r="AO18" s="1">
        <v>2604</v>
      </c>
      <c r="AP18" s="1">
        <v>2016</v>
      </c>
      <c r="AQ18" s="1">
        <v>2213</v>
      </c>
      <c r="AR18" s="1">
        <v>1904</v>
      </c>
      <c r="AS18" s="1">
        <v>2006</v>
      </c>
      <c r="AT18" s="1">
        <v>1982</v>
      </c>
      <c r="AU18" s="1">
        <v>1982</v>
      </c>
      <c r="AV18" s="1"/>
      <c r="AW18" s="1"/>
      <c r="AX18" s="1"/>
      <c r="AY18" s="1"/>
      <c r="AZ18" s="1"/>
    </row>
    <row r="19" spans="1:52" x14ac:dyDescent="0.3">
      <c r="A19" t="s">
        <v>65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>
        <v>850</v>
      </c>
      <c r="V19" s="1">
        <v>1961</v>
      </c>
      <c r="W19" s="1">
        <v>3148</v>
      </c>
      <c r="X19" s="1">
        <v>3608</v>
      </c>
      <c r="Y19" s="1">
        <v>3730</v>
      </c>
      <c r="Z19" s="1">
        <v>2898</v>
      </c>
      <c r="AA19" s="1">
        <v>3144</v>
      </c>
      <c r="AB19" s="1">
        <v>3311</v>
      </c>
      <c r="AC19" s="1">
        <v>3493</v>
      </c>
      <c r="AD19" s="1">
        <v>4103</v>
      </c>
      <c r="AE19" s="1">
        <v>5269</v>
      </c>
      <c r="AF19" s="1">
        <v>6590</v>
      </c>
      <c r="AG19" s="1">
        <v>7979</v>
      </c>
      <c r="AH19" s="1">
        <v>10458</v>
      </c>
      <c r="AI19" s="1">
        <v>13158</v>
      </c>
      <c r="AJ19" s="1">
        <v>11069</v>
      </c>
      <c r="AK19" s="1">
        <v>12425</v>
      </c>
      <c r="AL19" s="1">
        <v>15475</v>
      </c>
      <c r="AM19" s="1">
        <v>16894</v>
      </c>
      <c r="AN19" s="1">
        <v>17516</v>
      </c>
      <c r="AO19" s="1">
        <v>17966</v>
      </c>
      <c r="AP19" s="1">
        <v>15223</v>
      </c>
      <c r="AQ19" s="1">
        <v>15445</v>
      </c>
      <c r="AR19" s="1">
        <v>16472</v>
      </c>
      <c r="AS19" s="1">
        <v>17905</v>
      </c>
      <c r="AT19" s="1">
        <v>17645</v>
      </c>
      <c r="AU19" s="1">
        <v>16013</v>
      </c>
      <c r="AV19" s="1">
        <v>18849</v>
      </c>
      <c r="AW19" s="1">
        <v>24985</v>
      </c>
      <c r="AX19" s="1">
        <v>30778</v>
      </c>
      <c r="AY19" s="1">
        <v>33775</v>
      </c>
      <c r="AZ19" s="1">
        <v>35353</v>
      </c>
    </row>
    <row r="20" spans="1:52" x14ac:dyDescent="0.3">
      <c r="A20" t="s">
        <v>69</v>
      </c>
      <c r="B20" s="1">
        <v>44</v>
      </c>
      <c r="C20" s="1">
        <v>44</v>
      </c>
      <c r="D20" s="1">
        <v>50</v>
      </c>
      <c r="E20" s="1">
        <v>64</v>
      </c>
      <c r="F20" s="1">
        <v>75</v>
      </c>
      <c r="G20" s="1">
        <v>111</v>
      </c>
      <c r="H20" s="1">
        <v>116</v>
      </c>
      <c r="I20" s="1">
        <v>125</v>
      </c>
      <c r="J20" s="1">
        <v>132</v>
      </c>
      <c r="K20" s="1">
        <v>146</v>
      </c>
      <c r="L20" s="1">
        <v>168</v>
      </c>
      <c r="M20" s="1">
        <v>188</v>
      </c>
      <c r="N20" s="1">
        <v>215</v>
      </c>
      <c r="O20" s="1">
        <v>236</v>
      </c>
      <c r="P20" s="1">
        <v>267</v>
      </c>
      <c r="Q20" s="1">
        <v>278</v>
      </c>
      <c r="R20" s="1">
        <v>301</v>
      </c>
      <c r="S20" s="1">
        <v>310</v>
      </c>
      <c r="T20" s="1">
        <v>310</v>
      </c>
      <c r="U20" s="1">
        <v>325</v>
      </c>
      <c r="V20" s="1">
        <v>342</v>
      </c>
      <c r="W20" s="1">
        <v>367</v>
      </c>
      <c r="X20" s="1">
        <v>392</v>
      </c>
      <c r="Y20" s="1">
        <v>446</v>
      </c>
      <c r="Z20" s="1">
        <v>482</v>
      </c>
      <c r="AA20" s="1">
        <v>520</v>
      </c>
      <c r="AB20" s="1">
        <v>520</v>
      </c>
      <c r="AC20" s="1">
        <v>540</v>
      </c>
      <c r="AD20" s="1">
        <v>591</v>
      </c>
      <c r="AE20" s="1">
        <v>599</v>
      </c>
      <c r="AF20" s="1">
        <v>695</v>
      </c>
      <c r="AG20" s="1">
        <v>699</v>
      </c>
      <c r="AH20" s="1">
        <v>759</v>
      </c>
      <c r="AI20" s="1">
        <v>826</v>
      </c>
      <c r="AJ20" s="1">
        <v>771</v>
      </c>
      <c r="AK20" s="1">
        <v>771</v>
      </c>
      <c r="AL20" s="1">
        <v>779</v>
      </c>
      <c r="AM20" s="1">
        <v>800</v>
      </c>
      <c r="AN20" s="1">
        <v>843</v>
      </c>
      <c r="AO20" s="1">
        <v>911</v>
      </c>
      <c r="AP20" s="1">
        <v>997</v>
      </c>
      <c r="AQ20" s="1">
        <v>1062</v>
      </c>
      <c r="AR20" s="1">
        <v>1126</v>
      </c>
      <c r="AS20" s="1">
        <v>1167</v>
      </c>
      <c r="AT20" s="1">
        <v>1213</v>
      </c>
      <c r="AU20" s="1">
        <v>1043</v>
      </c>
      <c r="AV20" s="1">
        <v>1123</v>
      </c>
      <c r="AW20" s="1">
        <v>1231</v>
      </c>
      <c r="AX20" s="1">
        <v>1325</v>
      </c>
      <c r="AY20" s="1">
        <v>1392</v>
      </c>
      <c r="AZ20" s="1">
        <v>1464</v>
      </c>
    </row>
    <row r="21" spans="1:52" x14ac:dyDescent="0.3">
      <c r="A21" t="s">
        <v>72</v>
      </c>
      <c r="B21" s="1">
        <v>556</v>
      </c>
      <c r="C21" s="1">
        <v>500</v>
      </c>
      <c r="D21" s="1">
        <v>430</v>
      </c>
      <c r="E21" s="1">
        <v>497</v>
      </c>
      <c r="F21" s="1">
        <v>544</v>
      </c>
      <c r="G21" s="1">
        <v>289</v>
      </c>
      <c r="H21" s="1">
        <v>370</v>
      </c>
      <c r="I21" s="1">
        <v>421</v>
      </c>
      <c r="J21" s="1">
        <v>475</v>
      </c>
      <c r="K21" s="1">
        <v>330</v>
      </c>
      <c r="L21" s="1">
        <v>485</v>
      </c>
      <c r="M21" s="1">
        <v>474</v>
      </c>
      <c r="N21" s="1">
        <v>401</v>
      </c>
      <c r="O21" s="1">
        <v>374</v>
      </c>
      <c r="P21" s="1">
        <v>449</v>
      </c>
      <c r="Q21" s="1">
        <v>548</v>
      </c>
      <c r="R21" s="1">
        <v>772</v>
      </c>
      <c r="S21" s="1">
        <v>846</v>
      </c>
      <c r="T21" s="1">
        <v>653</v>
      </c>
      <c r="U21" s="1">
        <v>361</v>
      </c>
      <c r="V21" s="1">
        <v>778</v>
      </c>
      <c r="W21" s="1">
        <v>741</v>
      </c>
      <c r="X21" s="1">
        <v>704</v>
      </c>
      <c r="Y21" s="1">
        <v>592</v>
      </c>
      <c r="Z21" s="1">
        <v>580</v>
      </c>
      <c r="AA21" s="1">
        <v>392</v>
      </c>
      <c r="AB21" s="1">
        <v>413</v>
      </c>
      <c r="AC21" s="1">
        <v>466</v>
      </c>
      <c r="AD21" s="1">
        <v>553</v>
      </c>
      <c r="AE21" s="1">
        <v>582</v>
      </c>
      <c r="AF21" s="1">
        <v>640</v>
      </c>
      <c r="AG21" s="1">
        <v>635</v>
      </c>
      <c r="AH21" s="1">
        <v>753</v>
      </c>
      <c r="AI21" s="1">
        <v>953</v>
      </c>
      <c r="AJ21" s="1">
        <v>889</v>
      </c>
      <c r="AK21" s="1">
        <v>941</v>
      </c>
      <c r="AL21" s="1">
        <v>1157</v>
      </c>
      <c r="AM21" s="1">
        <v>1050</v>
      </c>
      <c r="AN21" s="1">
        <v>1110</v>
      </c>
      <c r="AO21" s="1">
        <v>1136</v>
      </c>
      <c r="AP21" s="1">
        <v>1153</v>
      </c>
      <c r="AQ21" s="1">
        <v>1245</v>
      </c>
      <c r="AR21" s="1">
        <v>1469</v>
      </c>
      <c r="AS21" s="1">
        <v>1555</v>
      </c>
      <c r="AT21" s="1">
        <v>1487</v>
      </c>
      <c r="AU21" s="1">
        <v>1523</v>
      </c>
      <c r="AV21" s="1">
        <v>1722</v>
      </c>
      <c r="AW21" s="1">
        <v>1721</v>
      </c>
      <c r="AX21" s="1">
        <v>2005</v>
      </c>
      <c r="AY21" s="1">
        <v>2184</v>
      </c>
      <c r="AZ21" s="1">
        <v>2274</v>
      </c>
    </row>
    <row r="22" spans="1:52" x14ac:dyDescent="0.3">
      <c r="A22" t="s">
        <v>90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>
        <v>2875</v>
      </c>
      <c r="T22" s="1">
        <v>5152</v>
      </c>
      <c r="U22" s="1">
        <v>11881</v>
      </c>
      <c r="V22" s="1">
        <v>16639</v>
      </c>
      <c r="W22" s="1">
        <v>21035</v>
      </c>
      <c r="X22" s="1">
        <v>22166</v>
      </c>
      <c r="Y22" s="1">
        <v>22135</v>
      </c>
      <c r="Z22" s="1">
        <v>16871</v>
      </c>
      <c r="AA22" s="1">
        <v>18292</v>
      </c>
      <c r="AB22" s="1">
        <v>22153</v>
      </c>
      <c r="AC22" s="1">
        <v>24637</v>
      </c>
      <c r="AD22" s="1">
        <v>30834</v>
      </c>
      <c r="AE22" s="1">
        <v>43152</v>
      </c>
      <c r="AF22" s="1">
        <v>57125</v>
      </c>
      <c r="AG22" s="1">
        <v>81003</v>
      </c>
      <c r="AH22" s="1">
        <v>104850</v>
      </c>
      <c r="AI22" s="1">
        <v>133442</v>
      </c>
      <c r="AJ22" s="1">
        <v>115309</v>
      </c>
      <c r="AK22" s="1">
        <v>148047</v>
      </c>
      <c r="AL22" s="1">
        <v>192626</v>
      </c>
      <c r="AM22" s="1">
        <v>207999</v>
      </c>
      <c r="AN22" s="1">
        <v>236635</v>
      </c>
      <c r="AO22" s="1">
        <v>221416</v>
      </c>
      <c r="AP22" s="1">
        <v>184388</v>
      </c>
      <c r="AQ22" s="1">
        <v>137278</v>
      </c>
      <c r="AR22" s="1">
        <v>166806</v>
      </c>
      <c r="AS22" s="1">
        <v>179340</v>
      </c>
      <c r="AT22" s="1">
        <v>181667</v>
      </c>
      <c r="AU22" s="1">
        <v>171082</v>
      </c>
      <c r="AV22" s="1">
        <v>197112</v>
      </c>
      <c r="AW22" s="1">
        <v>225496</v>
      </c>
      <c r="AX22" s="1">
        <v>261840</v>
      </c>
      <c r="AY22" s="1">
        <v>284810</v>
      </c>
      <c r="AZ22" s="1">
        <v>300538</v>
      </c>
    </row>
    <row r="23" spans="1:52" x14ac:dyDescent="0.3">
      <c r="A23" t="s">
        <v>92</v>
      </c>
      <c r="B23" s="1">
        <v>80</v>
      </c>
      <c r="C23" s="1">
        <v>60</v>
      </c>
      <c r="D23" s="1">
        <v>56</v>
      </c>
      <c r="E23" s="1">
        <v>65</v>
      </c>
      <c r="F23" s="1">
        <v>62</v>
      </c>
      <c r="G23" s="1">
        <v>33</v>
      </c>
      <c r="H23" s="1">
        <v>35</v>
      </c>
      <c r="I23" s="1">
        <v>33</v>
      </c>
      <c r="J23" s="1">
        <v>31</v>
      </c>
      <c r="K23" s="1">
        <v>34</v>
      </c>
      <c r="L23" s="1">
        <v>26</v>
      </c>
      <c r="M23" s="1">
        <v>26</v>
      </c>
      <c r="N23" s="1">
        <v>30</v>
      </c>
      <c r="O23" s="1">
        <v>38</v>
      </c>
      <c r="P23" s="1">
        <v>38</v>
      </c>
      <c r="Q23" s="1">
        <v>37</v>
      </c>
      <c r="R23" s="1">
        <v>41</v>
      </c>
      <c r="S23" s="1">
        <v>62</v>
      </c>
      <c r="T23" s="1">
        <v>59</v>
      </c>
      <c r="U23" s="1">
        <v>67</v>
      </c>
      <c r="V23" s="1">
        <v>69</v>
      </c>
      <c r="W23" s="1">
        <v>81</v>
      </c>
      <c r="X23" s="1">
        <v>80</v>
      </c>
      <c r="Y23" s="1">
        <v>75</v>
      </c>
      <c r="Z23" s="1">
        <v>77</v>
      </c>
      <c r="AA23" s="1">
        <v>75</v>
      </c>
      <c r="AB23" s="1">
        <v>65</v>
      </c>
      <c r="AC23" s="1">
        <v>75</v>
      </c>
      <c r="AD23" s="1">
        <v>97</v>
      </c>
      <c r="AE23" s="1">
        <v>104</v>
      </c>
      <c r="AF23" s="1">
        <v>114</v>
      </c>
      <c r="AG23" s="1">
        <v>112</v>
      </c>
      <c r="AH23" s="1">
        <v>138</v>
      </c>
      <c r="AI23" s="1">
        <v>150</v>
      </c>
      <c r="AJ23" s="1">
        <v>142</v>
      </c>
      <c r="AK23" s="1">
        <v>166</v>
      </c>
      <c r="AL23" s="1">
        <v>196</v>
      </c>
      <c r="AM23" s="1">
        <v>207</v>
      </c>
      <c r="AN23" s="1">
        <v>202</v>
      </c>
      <c r="AO23" s="1">
        <v>201</v>
      </c>
      <c r="AP23" s="1">
        <v>192</v>
      </c>
      <c r="AQ23" s="1">
        <v>207</v>
      </c>
      <c r="AR23" s="1">
        <v>223</v>
      </c>
      <c r="AS23" s="1">
        <v>234</v>
      </c>
      <c r="AT23" s="1">
        <v>217</v>
      </c>
      <c r="AU23" s="1">
        <v>222</v>
      </c>
      <c r="AV23" s="1">
        <v>285</v>
      </c>
      <c r="AW23" s="1">
        <v>271</v>
      </c>
      <c r="AX23" s="1">
        <v>289</v>
      </c>
      <c r="AY23" s="1">
        <v>308</v>
      </c>
      <c r="AZ23" s="1">
        <v>312</v>
      </c>
    </row>
    <row r="24" spans="1:52" x14ac:dyDescent="0.3">
      <c r="A24" t="s">
        <v>93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>
        <v>2217</v>
      </c>
      <c r="AB24" s="1">
        <v>2509</v>
      </c>
      <c r="AC24" s="1">
        <v>2730</v>
      </c>
      <c r="AD24" s="1">
        <v>3390</v>
      </c>
      <c r="AE24" s="1">
        <v>3710</v>
      </c>
      <c r="AF24" s="1">
        <v>3828</v>
      </c>
      <c r="AG24" s="1">
        <v>4019</v>
      </c>
      <c r="AH24" s="1">
        <v>4868</v>
      </c>
      <c r="AI24" s="1">
        <v>5202</v>
      </c>
      <c r="AJ24" s="1">
        <v>5030</v>
      </c>
      <c r="AK24" s="1">
        <v>5348</v>
      </c>
      <c r="AL24" s="1">
        <v>6340</v>
      </c>
      <c r="AM24" s="1">
        <v>6167</v>
      </c>
      <c r="AN24" s="1">
        <v>6735</v>
      </c>
      <c r="AO24" s="1">
        <v>7076</v>
      </c>
      <c r="AP24" s="1">
        <v>6296</v>
      </c>
      <c r="AQ24" s="1">
        <v>6681</v>
      </c>
      <c r="AR24" s="1">
        <v>7178</v>
      </c>
      <c r="AS24" s="1">
        <v>7882</v>
      </c>
      <c r="AT24" s="1">
        <v>7900</v>
      </c>
      <c r="AU24" s="1">
        <v>7728</v>
      </c>
      <c r="AV24" s="1">
        <v>9418</v>
      </c>
      <c r="AW24" s="1">
        <v>9375</v>
      </c>
      <c r="AX24" s="1">
        <v>10470</v>
      </c>
      <c r="AY24" s="1">
        <v>11151</v>
      </c>
      <c r="AZ24" s="1">
        <v>11274</v>
      </c>
    </row>
    <row r="25" spans="1:52" x14ac:dyDescent="0.3">
      <c r="A25" t="s">
        <v>95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>
        <v>917</v>
      </c>
      <c r="T25" s="1">
        <v>665</v>
      </c>
      <c r="U25" s="1">
        <v>1108</v>
      </c>
      <c r="V25" s="1">
        <v>1493</v>
      </c>
      <c r="W25" s="1">
        <v>1822</v>
      </c>
      <c r="X25" s="1">
        <v>1767</v>
      </c>
      <c r="Y25" s="1">
        <v>1630</v>
      </c>
      <c r="Z25" s="1">
        <v>1242</v>
      </c>
      <c r="AA25" s="1">
        <v>1368</v>
      </c>
      <c r="AB25" s="1">
        <v>1525</v>
      </c>
      <c r="AC25" s="1">
        <v>1606</v>
      </c>
      <c r="AD25" s="1">
        <v>1920</v>
      </c>
      <c r="AE25" s="1">
        <v>2214</v>
      </c>
      <c r="AF25" s="1">
        <v>2459</v>
      </c>
      <c r="AG25" s="1">
        <v>2837</v>
      </c>
      <c r="AH25" s="1">
        <v>3807</v>
      </c>
      <c r="AI25" s="1">
        <v>5139</v>
      </c>
      <c r="AJ25" s="1">
        <v>4690</v>
      </c>
      <c r="AK25" s="1">
        <v>4794</v>
      </c>
      <c r="AL25" s="1">
        <v>6198</v>
      </c>
      <c r="AM25" s="1">
        <v>6604</v>
      </c>
      <c r="AN25" s="1">
        <v>7335</v>
      </c>
      <c r="AO25" s="1">
        <v>7467</v>
      </c>
      <c r="AP25" s="1">
        <v>6678</v>
      </c>
      <c r="AQ25" s="1">
        <v>6813</v>
      </c>
      <c r="AR25" s="1">
        <v>7703</v>
      </c>
      <c r="AS25" s="1">
        <v>8271</v>
      </c>
      <c r="AT25" s="1">
        <v>9372</v>
      </c>
      <c r="AU25" s="1">
        <v>8283</v>
      </c>
      <c r="AV25" s="1">
        <v>9256</v>
      </c>
      <c r="AW25" s="1">
        <v>12269</v>
      </c>
      <c r="AX25" s="1">
        <v>15187</v>
      </c>
      <c r="AY25" s="1">
        <v>17491</v>
      </c>
      <c r="AZ25" s="1">
        <v>19849</v>
      </c>
    </row>
    <row r="26" spans="1:52" x14ac:dyDescent="0.3">
      <c r="A26" t="s">
        <v>97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>
        <v>1641</v>
      </c>
      <c r="T26" s="1">
        <v>2643</v>
      </c>
      <c r="U26" s="1">
        <v>4391</v>
      </c>
      <c r="V26" s="1">
        <v>5242</v>
      </c>
      <c r="W26" s="1">
        <v>5799</v>
      </c>
      <c r="X26" s="1">
        <v>6351</v>
      </c>
      <c r="Y26" s="1">
        <v>6977</v>
      </c>
      <c r="Z26" s="1">
        <v>7325</v>
      </c>
      <c r="AA26" s="1">
        <v>7765</v>
      </c>
      <c r="AB26" s="1">
        <v>8192</v>
      </c>
      <c r="AC26" s="1">
        <v>9256</v>
      </c>
      <c r="AD26" s="1">
        <v>11249</v>
      </c>
      <c r="AE26" s="1">
        <v>13831</v>
      </c>
      <c r="AF26" s="1">
        <v>16332</v>
      </c>
      <c r="AG26" s="1">
        <v>20453</v>
      </c>
      <c r="AH26" s="1">
        <v>29463</v>
      </c>
      <c r="AI26" s="1">
        <v>34296</v>
      </c>
      <c r="AJ26" s="1">
        <v>25758</v>
      </c>
      <c r="AK26" s="1">
        <v>23509</v>
      </c>
      <c r="AL26" s="1">
        <v>26832</v>
      </c>
      <c r="AM26" s="1">
        <v>27136</v>
      </c>
      <c r="AN26" s="1">
        <v>29157</v>
      </c>
      <c r="AO26" s="1">
        <v>30285</v>
      </c>
      <c r="AP26" s="1">
        <v>26347</v>
      </c>
      <c r="AQ26" s="1">
        <v>27110</v>
      </c>
      <c r="AR26" s="1">
        <v>29381</v>
      </c>
      <c r="AS26" s="1">
        <v>33263</v>
      </c>
      <c r="AT26" s="1">
        <v>33103</v>
      </c>
      <c r="AU26" s="1">
        <v>33353</v>
      </c>
      <c r="AV26" s="1">
        <v>38209</v>
      </c>
      <c r="AW26" s="1">
        <v>38045</v>
      </c>
      <c r="AX26" s="1">
        <v>42584</v>
      </c>
      <c r="AY26" s="1">
        <v>43508</v>
      </c>
      <c r="AZ26" s="1">
        <v>45535</v>
      </c>
    </row>
    <row r="27" spans="1:52" x14ac:dyDescent="0.3">
      <c r="A27" t="s">
        <v>103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>
        <v>6742</v>
      </c>
      <c r="W27" s="1">
        <v>8440</v>
      </c>
      <c r="X27" s="1">
        <v>10159</v>
      </c>
      <c r="Y27" s="1">
        <v>11284</v>
      </c>
      <c r="Z27" s="1">
        <v>11017</v>
      </c>
      <c r="AA27" s="1">
        <v>11541</v>
      </c>
      <c r="AB27" s="1">
        <v>12260</v>
      </c>
      <c r="AC27" s="1">
        <v>14283</v>
      </c>
      <c r="AD27" s="1">
        <v>18801</v>
      </c>
      <c r="AE27" s="1">
        <v>22710</v>
      </c>
      <c r="AF27" s="1">
        <v>26118</v>
      </c>
      <c r="AG27" s="1">
        <v>30138</v>
      </c>
      <c r="AH27" s="1">
        <v>39765</v>
      </c>
      <c r="AI27" s="1">
        <v>48004</v>
      </c>
      <c r="AJ27" s="1">
        <v>37591</v>
      </c>
      <c r="AK27" s="1">
        <v>36693</v>
      </c>
      <c r="AL27" s="1">
        <v>43201</v>
      </c>
      <c r="AM27" s="1">
        <v>42736</v>
      </c>
      <c r="AN27" s="1">
        <v>46321</v>
      </c>
      <c r="AO27" s="1">
        <v>48388</v>
      </c>
      <c r="AP27" s="1">
        <v>41548</v>
      </c>
      <c r="AQ27" s="1">
        <v>42952</v>
      </c>
      <c r="AR27" s="1">
        <v>47745</v>
      </c>
      <c r="AS27" s="1">
        <v>54294</v>
      </c>
      <c r="AT27" s="1">
        <v>55132</v>
      </c>
      <c r="AU27" s="1">
        <v>57352</v>
      </c>
      <c r="AV27" s="1">
        <v>67068</v>
      </c>
      <c r="AW27" s="1">
        <v>71082</v>
      </c>
      <c r="AX27" s="1">
        <v>79824</v>
      </c>
      <c r="AY27" s="1">
        <v>84847</v>
      </c>
      <c r="AZ27" s="1">
        <v>89192</v>
      </c>
    </row>
    <row r="28" spans="1:52" x14ac:dyDescent="0.3">
      <c r="A28" t="s">
        <v>116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>
        <v>864</v>
      </c>
      <c r="T28" s="1">
        <v>1110</v>
      </c>
      <c r="U28" s="1">
        <v>1158</v>
      </c>
      <c r="V28" s="1">
        <v>1441</v>
      </c>
      <c r="W28" s="1">
        <v>1694</v>
      </c>
      <c r="X28" s="1">
        <v>1928</v>
      </c>
      <c r="Y28" s="1">
        <v>1697</v>
      </c>
      <c r="Z28" s="1">
        <v>1172</v>
      </c>
      <c r="AA28" s="1">
        <v>1315</v>
      </c>
      <c r="AB28" s="1">
        <v>1481</v>
      </c>
      <c r="AC28" s="1">
        <v>1662</v>
      </c>
      <c r="AD28" s="1">
        <v>1981</v>
      </c>
      <c r="AE28" s="1">
        <v>2598</v>
      </c>
      <c r="AF28" s="1">
        <v>2988</v>
      </c>
      <c r="AG28" s="1">
        <v>3408</v>
      </c>
      <c r="AH28" s="1">
        <v>4401</v>
      </c>
      <c r="AI28" s="1">
        <v>6055</v>
      </c>
      <c r="AJ28" s="1">
        <v>5438</v>
      </c>
      <c r="AK28" s="1">
        <v>6977</v>
      </c>
      <c r="AL28" s="1">
        <v>8417</v>
      </c>
      <c r="AM28" s="1">
        <v>8708</v>
      </c>
      <c r="AN28" s="1">
        <v>9496</v>
      </c>
      <c r="AO28" s="1">
        <v>9402</v>
      </c>
      <c r="AP28" s="1">
        <v>7778</v>
      </c>
      <c r="AQ28" s="1">
        <v>7981</v>
      </c>
      <c r="AR28" s="1">
        <v>9515</v>
      </c>
      <c r="AS28" s="1">
        <v>11252</v>
      </c>
      <c r="AT28" s="1">
        <v>11737</v>
      </c>
      <c r="AU28" s="1">
        <v>11530</v>
      </c>
      <c r="AV28" s="1">
        <v>13694</v>
      </c>
      <c r="AW28" s="1">
        <v>14493</v>
      </c>
      <c r="AX28" s="1">
        <v>16751</v>
      </c>
      <c r="AY28" s="1">
        <v>18126</v>
      </c>
      <c r="AZ28" s="1">
        <v>19462</v>
      </c>
    </row>
    <row r="29" spans="1:52" x14ac:dyDescent="0.3">
      <c r="A29" t="s">
        <v>119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>
        <v>966</v>
      </c>
      <c r="AB29" s="1">
        <v>1150</v>
      </c>
      <c r="AC29" s="1">
        <v>1269</v>
      </c>
      <c r="AD29" s="1">
        <v>1681</v>
      </c>
      <c r="AE29" s="1">
        <v>2073</v>
      </c>
      <c r="AF29" s="1">
        <v>2261</v>
      </c>
      <c r="AG29" s="1">
        <v>2724</v>
      </c>
      <c r="AH29" s="1">
        <v>3686</v>
      </c>
      <c r="AI29" s="1">
        <v>4564</v>
      </c>
      <c r="AJ29" s="1">
        <v>4171</v>
      </c>
      <c r="AK29" s="1">
        <v>4146</v>
      </c>
      <c r="AL29" s="1">
        <v>4544</v>
      </c>
      <c r="AM29" s="1">
        <v>4090</v>
      </c>
      <c r="AN29" s="1">
        <v>4466</v>
      </c>
      <c r="AO29" s="1">
        <v>4595</v>
      </c>
      <c r="AP29" s="1">
        <v>4055</v>
      </c>
      <c r="AQ29" s="1">
        <v>4376</v>
      </c>
      <c r="AR29" s="1">
        <v>4855</v>
      </c>
      <c r="AS29" s="1">
        <v>5509</v>
      </c>
      <c r="AT29" s="1">
        <v>5543</v>
      </c>
      <c r="AU29" s="1">
        <v>4777</v>
      </c>
      <c r="AV29" s="1">
        <v>5865</v>
      </c>
      <c r="AW29" s="1">
        <v>6243</v>
      </c>
      <c r="AX29" s="1">
        <v>7532</v>
      </c>
      <c r="AY29" s="1">
        <v>8023</v>
      </c>
      <c r="AZ29" s="1">
        <v>8562</v>
      </c>
    </row>
    <row r="30" spans="1:52" x14ac:dyDescent="0.3">
      <c r="A30" t="s">
        <v>121</v>
      </c>
      <c r="B30" s="1">
        <v>4841</v>
      </c>
      <c r="C30" s="1">
        <v>4409</v>
      </c>
      <c r="D30" s="1">
        <v>4463</v>
      </c>
      <c r="E30" s="1">
        <v>4663</v>
      </c>
      <c r="F30" s="1">
        <v>4903</v>
      </c>
      <c r="G30" s="1">
        <v>4615</v>
      </c>
      <c r="H30" s="1">
        <v>3585</v>
      </c>
      <c r="I30" s="1">
        <v>3662</v>
      </c>
      <c r="J30" s="1">
        <v>3280</v>
      </c>
      <c r="K30" s="1">
        <v>3417</v>
      </c>
      <c r="L30" s="1">
        <v>4516</v>
      </c>
      <c r="M30" s="1">
        <v>5301</v>
      </c>
      <c r="N30" s="1">
        <v>2395</v>
      </c>
      <c r="O30" s="1">
        <v>2105</v>
      </c>
      <c r="P30" s="1">
        <v>2199</v>
      </c>
      <c r="Q30" s="1">
        <v>3529</v>
      </c>
      <c r="R30" s="1">
        <v>3855</v>
      </c>
      <c r="S30" s="1">
        <v>2799</v>
      </c>
      <c r="T30" s="1">
        <v>2883</v>
      </c>
      <c r="U30" s="1">
        <v>2958</v>
      </c>
      <c r="V30" s="1">
        <v>3062</v>
      </c>
      <c r="W30" s="1">
        <v>4030</v>
      </c>
      <c r="X30" s="1">
        <v>4874</v>
      </c>
      <c r="Y30" s="1">
        <v>5551</v>
      </c>
      <c r="Z30" s="1">
        <v>6285</v>
      </c>
      <c r="AA30" s="1">
        <v>5931</v>
      </c>
      <c r="AB30" s="1">
        <v>5650</v>
      </c>
      <c r="AC30" s="1">
        <v>5951</v>
      </c>
      <c r="AD30" s="1">
        <v>6584</v>
      </c>
      <c r="AE30" s="1">
        <v>7937</v>
      </c>
      <c r="AF30" s="1">
        <v>8868</v>
      </c>
      <c r="AG30" s="1">
        <v>9510</v>
      </c>
      <c r="AH30" s="1">
        <v>10811</v>
      </c>
      <c r="AI30" s="1">
        <v>12920</v>
      </c>
      <c r="AJ30" s="1">
        <v>12264</v>
      </c>
      <c r="AK30" s="1">
        <v>11412</v>
      </c>
      <c r="AL30" s="1">
        <v>14619</v>
      </c>
      <c r="AM30" s="1">
        <v>16688</v>
      </c>
      <c r="AN30" s="1">
        <v>17198</v>
      </c>
      <c r="AO30" s="1">
        <v>17978</v>
      </c>
      <c r="AP30" s="1">
        <v>16209</v>
      </c>
      <c r="AQ30" s="1">
        <v>12069</v>
      </c>
      <c r="AR30" s="1">
        <v>13265</v>
      </c>
      <c r="AS30" s="1">
        <v>15017</v>
      </c>
      <c r="AT30" s="1">
        <v>15513</v>
      </c>
      <c r="AU30" s="1">
        <v>14235</v>
      </c>
      <c r="AV30" s="1">
        <v>16168</v>
      </c>
      <c r="AW30" s="1">
        <v>18884</v>
      </c>
      <c r="AX30" s="1">
        <v>20954</v>
      </c>
      <c r="AY30" s="1">
        <v>21944</v>
      </c>
      <c r="AZ30" s="1">
        <v>23771</v>
      </c>
    </row>
    <row r="31" spans="1:52" x14ac:dyDescent="0.3">
      <c r="A31" t="s">
        <v>123</v>
      </c>
      <c r="B31" s="1">
        <v>1169</v>
      </c>
      <c r="C31" s="1">
        <v>1123</v>
      </c>
      <c r="D31" s="1">
        <v>1248</v>
      </c>
      <c r="E31" s="1">
        <v>1438</v>
      </c>
      <c r="F31" s="1">
        <v>1777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>
        <v>2568</v>
      </c>
      <c r="R31" s="1">
        <v>2841</v>
      </c>
      <c r="S31" s="1">
        <v>3296</v>
      </c>
      <c r="T31" s="1">
        <v>3156</v>
      </c>
      <c r="U31" s="1">
        <v>3537</v>
      </c>
      <c r="V31" s="1">
        <v>3948</v>
      </c>
      <c r="W31" s="1">
        <v>3954</v>
      </c>
      <c r="X31" s="1">
        <v>4110</v>
      </c>
      <c r="Y31" s="1">
        <v>3832</v>
      </c>
      <c r="Z31" s="1">
        <v>3824</v>
      </c>
      <c r="AA31" s="1">
        <v>3941</v>
      </c>
      <c r="AB31" s="1">
        <v>3577</v>
      </c>
      <c r="AC31" s="1">
        <v>3396</v>
      </c>
      <c r="AD31" s="1">
        <v>4974</v>
      </c>
      <c r="AE31" s="1">
        <v>6673</v>
      </c>
      <c r="AF31" s="1">
        <v>7324</v>
      </c>
      <c r="AG31" s="1">
        <v>7711</v>
      </c>
      <c r="AH31" s="1">
        <v>8730</v>
      </c>
      <c r="AI31" s="1">
        <v>8496</v>
      </c>
      <c r="AJ31" s="1">
        <v>8915</v>
      </c>
      <c r="AK31" s="1">
        <v>11281</v>
      </c>
      <c r="AL31" s="1">
        <v>12423</v>
      </c>
      <c r="AM31" s="1">
        <v>13016</v>
      </c>
      <c r="AN31" s="1">
        <v>12168</v>
      </c>
      <c r="AO31" s="1">
        <v>12434</v>
      </c>
      <c r="AP31" s="1">
        <v>11450</v>
      </c>
      <c r="AQ31" s="1">
        <v>10719</v>
      </c>
      <c r="AR31" s="1">
        <v>12883</v>
      </c>
      <c r="AS31" s="1">
        <v>13676</v>
      </c>
      <c r="AT31" s="1">
        <v>12539</v>
      </c>
      <c r="AU31" s="1">
        <v>10583</v>
      </c>
      <c r="AV31" s="1">
        <v>12399</v>
      </c>
      <c r="AW31" s="1">
        <v>12564</v>
      </c>
      <c r="AX31" s="1">
        <v>12402</v>
      </c>
      <c r="AY31" s="1">
        <v>13370</v>
      </c>
      <c r="AZ31" s="1">
        <v>14214</v>
      </c>
    </row>
    <row r="32" spans="1:52" x14ac:dyDescent="0.3">
      <c r="A32" t="s">
        <v>137</v>
      </c>
      <c r="B32" s="1">
        <v>15</v>
      </c>
      <c r="C32" s="1">
        <v>16</v>
      </c>
      <c r="D32" s="1">
        <v>17</v>
      </c>
      <c r="E32" s="1">
        <v>19</v>
      </c>
      <c r="F32" s="1">
        <v>21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>
        <v>150</v>
      </c>
      <c r="AB32" s="1">
        <v>159</v>
      </c>
      <c r="AC32" s="1">
        <v>163</v>
      </c>
      <c r="AD32" s="1">
        <v>155</v>
      </c>
      <c r="AE32" s="1">
        <v>166</v>
      </c>
      <c r="AF32" s="1">
        <v>186</v>
      </c>
      <c r="AG32" s="1">
        <v>191</v>
      </c>
      <c r="AH32" s="1">
        <v>196</v>
      </c>
      <c r="AI32" s="1">
        <v>199</v>
      </c>
      <c r="AJ32" s="1">
        <v>184</v>
      </c>
      <c r="AK32" s="1">
        <v>184</v>
      </c>
      <c r="AL32" s="1">
        <v>195</v>
      </c>
      <c r="AM32" s="1">
        <v>215</v>
      </c>
      <c r="AN32" s="1">
        <v>226</v>
      </c>
      <c r="AO32" s="1">
        <v>245</v>
      </c>
      <c r="AP32" s="1">
        <v>283</v>
      </c>
      <c r="AQ32" s="1">
        <v>303</v>
      </c>
      <c r="AR32" s="1">
        <v>290</v>
      </c>
      <c r="AS32" s="1">
        <v>288</v>
      </c>
      <c r="AT32" s="1">
        <v>282</v>
      </c>
      <c r="AU32" s="1">
        <v>259</v>
      </c>
      <c r="AV32" s="1">
        <v>236</v>
      </c>
      <c r="AW32" s="1">
        <v>248</v>
      </c>
      <c r="AX32" s="1">
        <v>275</v>
      </c>
      <c r="AY32" s="1">
        <v>306</v>
      </c>
      <c r="AZ32" s="1">
        <v>333</v>
      </c>
    </row>
    <row r="33" spans="1:52" x14ac:dyDescent="0.3">
      <c r="A33" t="s">
        <v>140</v>
      </c>
      <c r="B33" s="1">
        <v>1536</v>
      </c>
      <c r="C33" s="1">
        <v>1652</v>
      </c>
      <c r="D33" s="1">
        <v>1819</v>
      </c>
      <c r="E33" s="1">
        <v>2211</v>
      </c>
      <c r="F33" s="1">
        <v>2543</v>
      </c>
      <c r="G33" s="1">
        <v>4087</v>
      </c>
      <c r="H33" s="1">
        <v>4011</v>
      </c>
      <c r="I33" s="1">
        <v>3805</v>
      </c>
      <c r="J33" s="1">
        <v>3799</v>
      </c>
      <c r="K33" s="1">
        <v>3509</v>
      </c>
      <c r="L33" s="1">
        <v>3250</v>
      </c>
      <c r="M33" s="1">
        <v>3535</v>
      </c>
      <c r="N33" s="1">
        <v>3885</v>
      </c>
      <c r="O33" s="1">
        <v>5400</v>
      </c>
      <c r="P33" s="1">
        <v>5238</v>
      </c>
      <c r="Q33" s="1">
        <v>4757</v>
      </c>
      <c r="R33" s="1">
        <v>5596</v>
      </c>
      <c r="S33" s="1">
        <v>6466</v>
      </c>
      <c r="T33" s="1">
        <v>7349</v>
      </c>
      <c r="U33" s="1">
        <v>8077</v>
      </c>
      <c r="V33" s="1">
        <v>7149</v>
      </c>
      <c r="W33" s="1">
        <v>7608</v>
      </c>
      <c r="X33" s="1">
        <v>7272</v>
      </c>
      <c r="Y33" s="1">
        <v>5558</v>
      </c>
      <c r="Z33" s="1">
        <v>5072</v>
      </c>
      <c r="AA33" s="1">
        <v>5169</v>
      </c>
      <c r="AB33" s="1">
        <v>4531</v>
      </c>
      <c r="AC33" s="1">
        <v>4387</v>
      </c>
      <c r="AD33" s="1">
        <v>5488</v>
      </c>
      <c r="AE33" s="1">
        <v>6279</v>
      </c>
      <c r="AF33" s="1">
        <v>7339</v>
      </c>
      <c r="AG33" s="1">
        <v>8355</v>
      </c>
      <c r="AH33" s="1">
        <v>9545</v>
      </c>
      <c r="AI33" s="1">
        <v>11671</v>
      </c>
      <c r="AJ33" s="1">
        <v>11619</v>
      </c>
      <c r="AK33" s="1">
        <v>14251</v>
      </c>
      <c r="AL33" s="1">
        <v>17985</v>
      </c>
      <c r="AM33" s="1">
        <v>21295</v>
      </c>
      <c r="AN33" s="1">
        <v>21261</v>
      </c>
      <c r="AO33" s="1">
        <v>23211</v>
      </c>
      <c r="AP33" s="1">
        <v>21723</v>
      </c>
      <c r="AQ33" s="1">
        <v>20759</v>
      </c>
      <c r="AR33" s="1">
        <v>22743</v>
      </c>
      <c r="AS33" s="1">
        <v>24110</v>
      </c>
      <c r="AT33" s="1">
        <v>24751</v>
      </c>
      <c r="AU33" s="1">
        <v>23848</v>
      </c>
      <c r="AV33" s="1">
        <v>26113</v>
      </c>
      <c r="AW33" s="1">
        <v>31653</v>
      </c>
      <c r="AX33" s="1">
        <v>30729</v>
      </c>
      <c r="AY33" s="1">
        <v>31654</v>
      </c>
      <c r="AZ33" s="1">
        <v>32835</v>
      </c>
    </row>
    <row r="34" spans="1:52" x14ac:dyDescent="0.3">
      <c r="A34" t="s">
        <v>147</v>
      </c>
      <c r="B34" s="1">
        <v>2470</v>
      </c>
      <c r="C34" s="1">
        <v>3206</v>
      </c>
      <c r="D34" s="1">
        <v>3509</v>
      </c>
      <c r="E34" s="1">
        <v>3932</v>
      </c>
      <c r="F34" s="1">
        <v>5633</v>
      </c>
      <c r="G34" s="1">
        <v>6665</v>
      </c>
      <c r="H34" s="1">
        <v>7374</v>
      </c>
      <c r="I34" s="1">
        <v>6467</v>
      </c>
      <c r="J34" s="1">
        <v>5506</v>
      </c>
      <c r="K34" s="1">
        <v>5708</v>
      </c>
      <c r="L34" s="1">
        <v>5339</v>
      </c>
      <c r="M34" s="1">
        <v>4214</v>
      </c>
      <c r="N34" s="1">
        <v>4441</v>
      </c>
      <c r="O34" s="1">
        <v>4260</v>
      </c>
      <c r="P34" s="1">
        <v>4502</v>
      </c>
      <c r="Q34" s="1">
        <v>6266</v>
      </c>
      <c r="R34" s="1">
        <v>5579</v>
      </c>
      <c r="S34" s="1">
        <v>6384</v>
      </c>
      <c r="T34" s="1">
        <v>5804</v>
      </c>
      <c r="U34" s="1">
        <v>5946</v>
      </c>
      <c r="V34" s="1">
        <v>6861</v>
      </c>
      <c r="W34" s="1">
        <v>7761</v>
      </c>
      <c r="X34" s="1">
        <v>9976</v>
      </c>
      <c r="Y34" s="1">
        <v>8488</v>
      </c>
      <c r="Z34" s="1">
        <v>11266</v>
      </c>
      <c r="AA34" s="1">
        <v>18085</v>
      </c>
      <c r="AB34" s="1">
        <v>17498</v>
      </c>
      <c r="AC34" s="1">
        <v>19334</v>
      </c>
      <c r="AD34" s="1">
        <v>23716</v>
      </c>
      <c r="AE34" s="1">
        <v>30651</v>
      </c>
      <c r="AF34" s="1">
        <v>44636</v>
      </c>
      <c r="AG34" s="1">
        <v>58629</v>
      </c>
      <c r="AH34" s="1">
        <v>75987</v>
      </c>
      <c r="AI34" s="1">
        <v>112621</v>
      </c>
      <c r="AJ34" s="1">
        <v>88196</v>
      </c>
      <c r="AK34" s="1">
        <v>119707</v>
      </c>
      <c r="AL34" s="1">
        <v>167775</v>
      </c>
      <c r="AM34" s="1">
        <v>186834</v>
      </c>
      <c r="AN34" s="1">
        <v>198728</v>
      </c>
      <c r="AO34" s="1">
        <v>206225</v>
      </c>
      <c r="AP34" s="1">
        <v>161740</v>
      </c>
      <c r="AQ34" s="1">
        <v>151732</v>
      </c>
      <c r="AR34" s="1">
        <v>161099</v>
      </c>
      <c r="AS34" s="1">
        <v>183335</v>
      </c>
      <c r="AT34" s="1">
        <v>176371</v>
      </c>
      <c r="AU34" s="1">
        <v>144411</v>
      </c>
      <c r="AV34" s="1">
        <v>179732</v>
      </c>
      <c r="AW34" s="1">
        <v>235709</v>
      </c>
      <c r="AX34" s="1">
        <v>213003</v>
      </c>
      <c r="AY34" s="1">
        <v>221452</v>
      </c>
      <c r="AZ34" s="1">
        <v>222776</v>
      </c>
    </row>
    <row r="35" spans="1:52" x14ac:dyDescent="0.3">
      <c r="A35" t="s">
        <v>150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>
        <v>71603</v>
      </c>
      <c r="T35" s="1">
        <v>196227</v>
      </c>
      <c r="U35" s="1">
        <v>293768</v>
      </c>
      <c r="V35" s="1">
        <v>335777</v>
      </c>
      <c r="W35" s="1">
        <v>412685</v>
      </c>
      <c r="X35" s="1">
        <v>433704</v>
      </c>
      <c r="Y35" s="1">
        <v>287672</v>
      </c>
      <c r="Z35" s="1">
        <v>209657</v>
      </c>
      <c r="AA35" s="1">
        <v>278264</v>
      </c>
      <c r="AB35" s="1">
        <v>328475</v>
      </c>
      <c r="AC35" s="1">
        <v>370062</v>
      </c>
      <c r="AD35" s="1">
        <v>461518</v>
      </c>
      <c r="AE35" s="1">
        <v>633294</v>
      </c>
      <c r="AF35" s="1">
        <v>817717</v>
      </c>
      <c r="AG35" s="1">
        <v>1060901</v>
      </c>
      <c r="AH35" s="1">
        <v>1393416</v>
      </c>
      <c r="AI35" s="1">
        <v>1779109</v>
      </c>
      <c r="AJ35" s="1">
        <v>1307927</v>
      </c>
      <c r="AK35" s="1">
        <v>1633111</v>
      </c>
      <c r="AL35" s="1">
        <v>2046621</v>
      </c>
      <c r="AM35" s="1">
        <v>2191486</v>
      </c>
      <c r="AN35" s="1">
        <v>2288428</v>
      </c>
      <c r="AO35" s="1">
        <v>2048837</v>
      </c>
      <c r="AP35" s="1">
        <v>1356703</v>
      </c>
      <c r="AQ35" s="1">
        <v>1280648</v>
      </c>
      <c r="AR35" s="1">
        <v>1575140</v>
      </c>
      <c r="AS35" s="1">
        <v>1653005</v>
      </c>
      <c r="AT35" s="1">
        <v>1695724</v>
      </c>
      <c r="AU35" s="1">
        <v>1488118</v>
      </c>
      <c r="AV35" s="1">
        <v>1828927</v>
      </c>
      <c r="AW35" s="1">
        <v>2295527</v>
      </c>
      <c r="AX35" s="1">
        <v>2059762</v>
      </c>
      <c r="AY35" s="1">
        <v>2161205</v>
      </c>
      <c r="AZ35" s="1">
        <v>2076396</v>
      </c>
    </row>
    <row r="36" spans="1:52" x14ac:dyDescent="0.3">
      <c r="A36" t="s">
        <v>152</v>
      </c>
      <c r="B36" s="1">
        <v>43</v>
      </c>
      <c r="C36" s="1">
        <v>37</v>
      </c>
      <c r="D36" s="1">
        <v>38</v>
      </c>
      <c r="E36" s="1">
        <v>43</v>
      </c>
      <c r="F36" s="1">
        <v>50</v>
      </c>
      <c r="G36" s="1">
        <v>58</v>
      </c>
      <c r="H36" s="1">
        <v>69</v>
      </c>
      <c r="I36" s="1">
        <v>79</v>
      </c>
      <c r="J36" s="1">
        <v>78</v>
      </c>
      <c r="K36" s="1">
        <v>91</v>
      </c>
      <c r="L36" s="1">
        <v>101</v>
      </c>
      <c r="M36" s="1">
        <v>119</v>
      </c>
      <c r="N36" s="1">
        <v>136</v>
      </c>
      <c r="O36" s="1">
        <v>161</v>
      </c>
      <c r="P36" s="1">
        <v>179</v>
      </c>
      <c r="Q36" s="1">
        <v>203</v>
      </c>
      <c r="R36" s="1">
        <v>201</v>
      </c>
      <c r="S36" s="1">
        <v>223</v>
      </c>
      <c r="T36" s="1">
        <v>243</v>
      </c>
      <c r="U36" s="1">
        <v>272</v>
      </c>
      <c r="V36" s="1">
        <v>293</v>
      </c>
      <c r="W36" s="1">
        <v>312</v>
      </c>
      <c r="X36" s="1">
        <v>351</v>
      </c>
      <c r="Y36" s="1">
        <v>366</v>
      </c>
      <c r="Z36" s="1">
        <v>389</v>
      </c>
      <c r="AA36" s="1">
        <v>421</v>
      </c>
      <c r="AB36" s="1">
        <v>458</v>
      </c>
      <c r="AC36" s="1">
        <v>481</v>
      </c>
      <c r="AD36" s="1">
        <v>469</v>
      </c>
      <c r="AE36" s="1">
        <v>507</v>
      </c>
      <c r="AF36" s="1">
        <v>547</v>
      </c>
      <c r="AG36" s="1">
        <v>644</v>
      </c>
      <c r="AH36" s="1">
        <v>689</v>
      </c>
      <c r="AI36" s="1">
        <v>778</v>
      </c>
      <c r="AJ36" s="1">
        <v>774</v>
      </c>
      <c r="AK36" s="1">
        <v>779</v>
      </c>
      <c r="AL36" s="1">
        <v>836</v>
      </c>
      <c r="AM36" s="1">
        <v>825</v>
      </c>
      <c r="AN36" s="1">
        <v>875</v>
      </c>
      <c r="AO36" s="1">
        <v>953</v>
      </c>
      <c r="AP36" s="1">
        <v>957</v>
      </c>
      <c r="AQ36" s="1">
        <v>1007</v>
      </c>
      <c r="AR36" s="1">
        <v>1058</v>
      </c>
      <c r="AS36" s="1">
        <v>1076</v>
      </c>
      <c r="AT36" s="1">
        <v>1107</v>
      </c>
      <c r="AU36" s="1">
        <v>884</v>
      </c>
      <c r="AV36" s="1">
        <v>859</v>
      </c>
      <c r="AW36" s="1">
        <v>981</v>
      </c>
      <c r="AX36" s="1">
        <v>1056</v>
      </c>
      <c r="AY36" s="1">
        <v>1117</v>
      </c>
      <c r="AZ36" s="1">
        <v>1129</v>
      </c>
    </row>
    <row r="37" spans="1:52" x14ac:dyDescent="0.3">
      <c r="A37" t="s">
        <v>153</v>
      </c>
      <c r="B37" s="1">
        <v>71</v>
      </c>
      <c r="C37" s="1">
        <v>73</v>
      </c>
      <c r="D37" s="1">
        <v>81</v>
      </c>
      <c r="E37" s="1">
        <v>95</v>
      </c>
      <c r="F37" s="1">
        <v>115</v>
      </c>
      <c r="G37" s="1">
        <v>170</v>
      </c>
      <c r="H37" s="1">
        <v>194</v>
      </c>
      <c r="I37" s="1">
        <v>183</v>
      </c>
      <c r="J37" s="1">
        <v>197</v>
      </c>
      <c r="K37" s="1">
        <v>251</v>
      </c>
      <c r="L37" s="1">
        <v>284</v>
      </c>
      <c r="M37" s="1">
        <v>340</v>
      </c>
      <c r="N37" s="1">
        <v>375</v>
      </c>
      <c r="O37" s="1">
        <v>429</v>
      </c>
      <c r="P37" s="1">
        <v>486</v>
      </c>
      <c r="Q37" s="1">
        <v>579</v>
      </c>
      <c r="R37" s="1">
        <v>613</v>
      </c>
      <c r="S37" s="1">
        <v>674</v>
      </c>
      <c r="T37" s="1">
        <v>684</v>
      </c>
      <c r="U37" s="1">
        <v>713</v>
      </c>
      <c r="V37" s="1">
        <v>762</v>
      </c>
      <c r="W37" s="1">
        <v>788</v>
      </c>
      <c r="X37" s="1">
        <v>805</v>
      </c>
      <c r="Y37" s="1">
        <v>877</v>
      </c>
      <c r="Z37" s="1">
        <v>921</v>
      </c>
      <c r="AA37" s="1">
        <v>932</v>
      </c>
      <c r="AB37" s="1">
        <v>892</v>
      </c>
      <c r="AC37" s="1">
        <v>899</v>
      </c>
      <c r="AD37" s="1">
        <v>987</v>
      </c>
      <c r="AE37" s="1">
        <v>1066</v>
      </c>
      <c r="AF37" s="1">
        <v>1135</v>
      </c>
      <c r="AG37" s="1">
        <v>1268</v>
      </c>
      <c r="AH37" s="1">
        <v>1331</v>
      </c>
      <c r="AI37" s="1">
        <v>1427</v>
      </c>
      <c r="AJ37" s="1">
        <v>1400</v>
      </c>
      <c r="AK37" s="1">
        <v>1483</v>
      </c>
      <c r="AL37" s="1">
        <v>1569</v>
      </c>
      <c r="AM37" s="1">
        <v>1598</v>
      </c>
      <c r="AN37" s="1">
        <v>1660</v>
      </c>
      <c r="AO37" s="1">
        <v>1749</v>
      </c>
      <c r="AP37" s="1">
        <v>1808</v>
      </c>
      <c r="AQ37" s="1">
        <v>1869</v>
      </c>
      <c r="AR37" s="1">
        <v>1999</v>
      </c>
      <c r="AS37" s="1">
        <v>2061</v>
      </c>
      <c r="AT37" s="1">
        <v>2095</v>
      </c>
      <c r="AU37" s="1">
        <v>1499</v>
      </c>
      <c r="AV37" s="1">
        <v>1867</v>
      </c>
      <c r="AW37" s="1">
        <v>2343</v>
      </c>
      <c r="AX37" s="1">
        <v>2430</v>
      </c>
      <c r="AY37" s="1">
        <v>2523</v>
      </c>
      <c r="AZ37" s="1">
        <v>2632</v>
      </c>
    </row>
    <row r="38" spans="1:52" x14ac:dyDescent="0.3">
      <c r="A38" t="s">
        <v>154</v>
      </c>
      <c r="B38" s="1">
        <v>38</v>
      </c>
      <c r="C38" s="1">
        <v>37</v>
      </c>
      <c r="D38" s="1">
        <v>43</v>
      </c>
      <c r="E38" s="1">
        <v>54</v>
      </c>
      <c r="F38" s="1">
        <v>63</v>
      </c>
      <c r="G38" s="1">
        <v>89</v>
      </c>
      <c r="H38" s="1">
        <v>110</v>
      </c>
      <c r="I38" s="1">
        <v>123</v>
      </c>
      <c r="J38" s="1">
        <v>132</v>
      </c>
      <c r="K38" s="1">
        <v>146</v>
      </c>
      <c r="L38" s="1">
        <v>157</v>
      </c>
      <c r="M38" s="1">
        <v>173</v>
      </c>
      <c r="N38" s="1">
        <v>189</v>
      </c>
      <c r="O38" s="1">
        <v>216</v>
      </c>
      <c r="P38" s="1">
        <v>232</v>
      </c>
      <c r="Q38" s="1">
        <v>259</v>
      </c>
      <c r="R38" s="1">
        <v>275</v>
      </c>
      <c r="S38" s="1">
        <v>300</v>
      </c>
      <c r="T38" s="1">
        <v>309</v>
      </c>
      <c r="U38" s="1">
        <v>312</v>
      </c>
      <c r="V38" s="1">
        <v>341</v>
      </c>
      <c r="W38" s="1">
        <v>358</v>
      </c>
      <c r="X38" s="1">
        <v>375</v>
      </c>
      <c r="Y38" s="1">
        <v>403</v>
      </c>
      <c r="Z38" s="1">
        <v>421</v>
      </c>
      <c r="AA38" s="1">
        <v>427</v>
      </c>
      <c r="AB38" s="1">
        <v>461</v>
      </c>
      <c r="AC38" s="1">
        <v>488</v>
      </c>
      <c r="AD38" s="1">
        <v>508</v>
      </c>
      <c r="AE38" s="1">
        <v>549</v>
      </c>
      <c r="AF38" s="1">
        <v>580</v>
      </c>
      <c r="AG38" s="1">
        <v>643</v>
      </c>
      <c r="AH38" s="1">
        <v>713</v>
      </c>
      <c r="AI38" s="1">
        <v>731</v>
      </c>
      <c r="AJ38" s="1">
        <v>714</v>
      </c>
      <c r="AK38" s="1">
        <v>720</v>
      </c>
      <c r="AL38" s="1">
        <v>713</v>
      </c>
      <c r="AM38" s="1">
        <v>727</v>
      </c>
      <c r="AN38" s="1">
        <v>766</v>
      </c>
      <c r="AO38" s="1">
        <v>771</v>
      </c>
      <c r="AP38" s="1">
        <v>786</v>
      </c>
      <c r="AQ38" s="1">
        <v>814</v>
      </c>
      <c r="AR38" s="1">
        <v>844</v>
      </c>
      <c r="AS38" s="1">
        <v>884</v>
      </c>
      <c r="AT38" s="1">
        <v>910</v>
      </c>
      <c r="AU38" s="1">
        <v>864</v>
      </c>
      <c r="AV38" s="1">
        <v>888</v>
      </c>
      <c r="AW38" s="1">
        <v>970</v>
      </c>
      <c r="AX38" s="1">
        <v>1071</v>
      </c>
      <c r="AY38" s="1">
        <v>1162</v>
      </c>
      <c r="AZ38" s="1">
        <v>1242</v>
      </c>
    </row>
    <row r="39" spans="1:52" x14ac:dyDescent="0.3">
      <c r="A39" t="s">
        <v>159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>
        <v>10431</v>
      </c>
      <c r="AB39" s="1">
        <v>13650</v>
      </c>
      <c r="AC39" s="1">
        <v>17997</v>
      </c>
      <c r="AD39" s="1">
        <v>23627</v>
      </c>
      <c r="AE39" s="1">
        <v>26718</v>
      </c>
      <c r="AF39" s="1">
        <v>28143</v>
      </c>
      <c r="AG39" s="1">
        <v>33421</v>
      </c>
      <c r="AH39" s="1">
        <v>45121</v>
      </c>
      <c r="AI39" s="1">
        <v>54117</v>
      </c>
      <c r="AJ39" s="1">
        <v>46949</v>
      </c>
      <c r="AK39" s="1">
        <v>43067</v>
      </c>
      <c r="AL39" s="1">
        <v>51274</v>
      </c>
      <c r="AM39" s="1">
        <v>45111</v>
      </c>
      <c r="AN39" s="1">
        <v>50456</v>
      </c>
      <c r="AO39" s="1">
        <v>49114</v>
      </c>
      <c r="AP39" s="1">
        <v>41297</v>
      </c>
      <c r="AQ39" s="1">
        <v>42225</v>
      </c>
      <c r="AR39" s="1">
        <v>45973</v>
      </c>
      <c r="AS39" s="1">
        <v>52788</v>
      </c>
      <c r="AT39" s="1">
        <v>53865</v>
      </c>
      <c r="AU39" s="1">
        <v>55874</v>
      </c>
      <c r="AV39" s="1">
        <v>65830</v>
      </c>
      <c r="AW39" s="1">
        <v>66798</v>
      </c>
      <c r="AX39" s="1">
        <v>81343</v>
      </c>
      <c r="AY39" s="1">
        <v>89074</v>
      </c>
      <c r="AZ39" s="1">
        <v>92549</v>
      </c>
    </row>
    <row r="40" spans="1:52" x14ac:dyDescent="0.3">
      <c r="A40" t="s">
        <v>160</v>
      </c>
      <c r="B40" s="1">
        <v>59</v>
      </c>
      <c r="C40" s="1">
        <v>61</v>
      </c>
      <c r="D40" s="1">
        <v>80</v>
      </c>
      <c r="E40" s="1">
        <v>106</v>
      </c>
      <c r="F40" s="1">
        <v>157</v>
      </c>
      <c r="G40" s="1">
        <v>147</v>
      </c>
      <c r="H40" s="1">
        <v>154</v>
      </c>
      <c r="I40" s="1">
        <v>148</v>
      </c>
      <c r="J40" s="1">
        <v>147</v>
      </c>
      <c r="K40" s="1">
        <v>151</v>
      </c>
      <c r="L40" s="1">
        <v>169</v>
      </c>
      <c r="M40" s="1">
        <v>208</v>
      </c>
      <c r="N40" s="1">
        <v>249</v>
      </c>
      <c r="O40" s="1">
        <v>284</v>
      </c>
      <c r="P40" s="1">
        <v>305</v>
      </c>
      <c r="Q40" s="1">
        <v>369</v>
      </c>
      <c r="R40" s="1">
        <v>374</v>
      </c>
      <c r="S40" s="1">
        <v>434</v>
      </c>
      <c r="T40" s="1">
        <v>474</v>
      </c>
      <c r="U40" s="1">
        <v>486</v>
      </c>
      <c r="V40" s="1">
        <v>508</v>
      </c>
      <c r="W40" s="1">
        <v>503</v>
      </c>
      <c r="X40" s="1">
        <v>563</v>
      </c>
      <c r="Y40" s="1">
        <v>608</v>
      </c>
      <c r="Z40" s="1">
        <v>623</v>
      </c>
      <c r="AA40" s="1">
        <v>615</v>
      </c>
      <c r="AB40" s="1">
        <v>622</v>
      </c>
      <c r="AC40" s="1">
        <v>698</v>
      </c>
      <c r="AD40" s="1">
        <v>706</v>
      </c>
      <c r="AE40" s="1">
        <v>839</v>
      </c>
      <c r="AF40" s="1">
        <v>919</v>
      </c>
      <c r="AG40" s="1">
        <v>1016</v>
      </c>
      <c r="AH40" s="1">
        <v>1034</v>
      </c>
      <c r="AI40" s="1">
        <v>998</v>
      </c>
      <c r="AJ40" s="1">
        <v>847</v>
      </c>
      <c r="AK40" s="1">
        <v>970</v>
      </c>
      <c r="AL40" s="1">
        <v>1018</v>
      </c>
      <c r="AM40" s="1">
        <v>1060</v>
      </c>
      <c r="AN40" s="1">
        <v>1328</v>
      </c>
      <c r="AO40" s="1">
        <v>1388</v>
      </c>
      <c r="AP40" s="1">
        <v>1432</v>
      </c>
      <c r="AQ40" s="1">
        <v>1568</v>
      </c>
      <c r="AR40" s="1">
        <v>1675</v>
      </c>
      <c r="AS40" s="1">
        <v>1777</v>
      </c>
      <c r="AT40" s="1">
        <v>1867</v>
      </c>
      <c r="AU40" s="1">
        <v>1384</v>
      </c>
      <c r="AV40" s="1">
        <v>1490</v>
      </c>
      <c r="AW40" s="1">
        <v>2018</v>
      </c>
      <c r="AX40" s="1">
        <v>2187</v>
      </c>
      <c r="AY40" s="1">
        <v>2168</v>
      </c>
      <c r="AZ40" s="1">
        <v>2198</v>
      </c>
    </row>
    <row r="41" spans="1:52" x14ac:dyDescent="0.3">
      <c r="A41" t="s">
        <v>163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>
        <v>13906</v>
      </c>
      <c r="U41" s="1">
        <v>16046</v>
      </c>
      <c r="V41" s="1">
        <v>20297</v>
      </c>
      <c r="W41" s="1">
        <v>21871</v>
      </c>
      <c r="X41" s="1">
        <v>22037</v>
      </c>
      <c r="Y41" s="1">
        <v>22917</v>
      </c>
      <c r="Z41" s="1">
        <v>20890</v>
      </c>
      <c r="AA41" s="1">
        <v>20711</v>
      </c>
      <c r="AB41" s="1">
        <v>21384</v>
      </c>
      <c r="AC41" s="1">
        <v>24849</v>
      </c>
      <c r="AD41" s="1">
        <v>33864</v>
      </c>
      <c r="AE41" s="1">
        <v>43023</v>
      </c>
      <c r="AF41" s="1">
        <v>48912</v>
      </c>
      <c r="AG41" s="1">
        <v>57480</v>
      </c>
      <c r="AH41" s="1">
        <v>77260</v>
      </c>
      <c r="AI41" s="1">
        <v>97122</v>
      </c>
      <c r="AJ41" s="1">
        <v>89246</v>
      </c>
      <c r="AK41" s="1">
        <v>91187</v>
      </c>
      <c r="AL41" s="1">
        <v>99688</v>
      </c>
      <c r="AM41" s="1">
        <v>94784</v>
      </c>
      <c r="AN41" s="1">
        <v>99136</v>
      </c>
      <c r="AO41" s="1">
        <v>101739</v>
      </c>
      <c r="AP41" s="1">
        <v>89188</v>
      </c>
      <c r="AQ41" s="1">
        <v>90322</v>
      </c>
      <c r="AR41" s="1">
        <v>95944</v>
      </c>
      <c r="AS41" s="1">
        <v>106660</v>
      </c>
      <c r="AT41" s="1">
        <v>105855</v>
      </c>
      <c r="AU41" s="1">
        <v>107646</v>
      </c>
      <c r="AV41" s="1">
        <v>120672</v>
      </c>
      <c r="AW41" s="1">
        <v>116020</v>
      </c>
      <c r="AX41" s="1">
        <v>132947</v>
      </c>
      <c r="AY41" s="1">
        <v>140636</v>
      </c>
      <c r="AZ41" s="1">
        <v>147031</v>
      </c>
    </row>
    <row r="42" spans="1:52" x14ac:dyDescent="0.3">
      <c r="A42" t="s">
        <v>164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>
        <v>19285</v>
      </c>
      <c r="T42" s="1">
        <v>16637</v>
      </c>
      <c r="U42" s="1">
        <v>16857</v>
      </c>
      <c r="V42" s="1">
        <v>21399</v>
      </c>
      <c r="W42" s="1">
        <v>21480</v>
      </c>
      <c r="X42" s="1">
        <v>20769</v>
      </c>
      <c r="Y42" s="1">
        <v>22080</v>
      </c>
      <c r="Z42" s="1">
        <v>22668</v>
      </c>
      <c r="AA42" s="1">
        <v>20262</v>
      </c>
      <c r="AB42" s="1">
        <v>20693</v>
      </c>
      <c r="AC42" s="1">
        <v>23263</v>
      </c>
      <c r="AD42" s="1">
        <v>29399</v>
      </c>
      <c r="AE42" s="1">
        <v>34190</v>
      </c>
      <c r="AF42" s="1">
        <v>36002</v>
      </c>
      <c r="AG42" s="1">
        <v>39293</v>
      </c>
      <c r="AH42" s="1">
        <v>47886</v>
      </c>
      <c r="AI42" s="1">
        <v>55503</v>
      </c>
      <c r="AJ42" s="1">
        <v>49921</v>
      </c>
      <c r="AK42" s="1">
        <v>47832</v>
      </c>
      <c r="AL42" s="1">
        <v>51190</v>
      </c>
      <c r="AM42" s="1">
        <v>46196</v>
      </c>
      <c r="AN42" s="1">
        <v>47868</v>
      </c>
      <c r="AO42" s="1">
        <v>49527</v>
      </c>
      <c r="AP42" s="1">
        <v>42714</v>
      </c>
      <c r="AQ42" s="1">
        <v>44279</v>
      </c>
      <c r="AR42" s="1">
        <v>48136</v>
      </c>
      <c r="AS42" s="1">
        <v>53713</v>
      </c>
      <c r="AT42" s="1">
        <v>53916</v>
      </c>
      <c r="AU42" s="1">
        <v>53342</v>
      </c>
      <c r="AV42" s="1">
        <v>61570</v>
      </c>
      <c r="AW42" s="1">
        <v>59975</v>
      </c>
      <c r="AX42" s="1">
        <v>69168</v>
      </c>
      <c r="AY42" s="1">
        <v>72463</v>
      </c>
      <c r="AZ42" s="1">
        <v>75224</v>
      </c>
    </row>
    <row r="43" spans="1:52" x14ac:dyDescent="0.3">
      <c r="A43" t="s">
        <v>169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>
        <v>17340</v>
      </c>
      <c r="AM43" s="1">
        <v>11267</v>
      </c>
      <c r="AN43" s="1">
        <v>14947</v>
      </c>
      <c r="AO43" s="1">
        <v>15178</v>
      </c>
      <c r="AP43" s="1">
        <v>15326</v>
      </c>
      <c r="AQ43" s="1">
        <v>2419</v>
      </c>
      <c r="AR43" s="1">
        <v>1302</v>
      </c>
      <c r="AS43" s="1">
        <v>2687</v>
      </c>
      <c r="AT43" s="1">
        <v>4044</v>
      </c>
      <c r="AU43" s="1">
        <v>5423</v>
      </c>
      <c r="AV43" s="1">
        <v>5940</v>
      </c>
      <c r="AW43" s="1">
        <v>8037</v>
      </c>
      <c r="AX43" s="1">
        <v>7186</v>
      </c>
      <c r="AY43" s="1">
        <v>5423</v>
      </c>
      <c r="AZ43" s="1">
        <v>3998</v>
      </c>
    </row>
    <row r="44" spans="1:52" x14ac:dyDescent="0.3">
      <c r="A44" t="s">
        <v>175</v>
      </c>
      <c r="B44" s="1">
        <v>638</v>
      </c>
      <c r="C44" s="1">
        <v>693</v>
      </c>
      <c r="D44" s="1">
        <v>879</v>
      </c>
      <c r="E44" s="1">
        <v>1008</v>
      </c>
      <c r="F44" s="1">
        <v>1072</v>
      </c>
      <c r="G44" s="1">
        <v>1276</v>
      </c>
      <c r="H44" s="1">
        <v>1427</v>
      </c>
      <c r="I44" s="1">
        <v>1469</v>
      </c>
      <c r="J44" s="1">
        <v>1419</v>
      </c>
      <c r="K44" s="1">
        <v>1387</v>
      </c>
      <c r="L44" s="1">
        <v>1402</v>
      </c>
      <c r="M44" s="1">
        <v>1430</v>
      </c>
      <c r="N44" s="1">
        <v>1573</v>
      </c>
      <c r="O44" s="1">
        <v>1864</v>
      </c>
      <c r="P44" s="1">
        <v>2177</v>
      </c>
      <c r="Q44" s="1">
        <v>577</v>
      </c>
      <c r="R44" s="1">
        <v>637</v>
      </c>
      <c r="S44" s="1">
        <v>590</v>
      </c>
      <c r="T44" s="1">
        <v>465</v>
      </c>
      <c r="U44" s="1">
        <v>523</v>
      </c>
      <c r="V44" s="1">
        <v>993</v>
      </c>
      <c r="W44" s="1">
        <v>1234</v>
      </c>
      <c r="X44" s="1">
        <v>1322</v>
      </c>
      <c r="Y44" s="1">
        <v>1588</v>
      </c>
      <c r="Z44" s="1">
        <v>1308</v>
      </c>
      <c r="AA44" s="1">
        <v>1355</v>
      </c>
      <c r="AB44" s="1">
        <v>1167</v>
      </c>
      <c r="AC44" s="1">
        <v>1474</v>
      </c>
      <c r="AD44" s="1">
        <v>1729</v>
      </c>
      <c r="AE44" s="1">
        <v>2000</v>
      </c>
      <c r="AF44" s="1">
        <v>2393</v>
      </c>
      <c r="AG44" s="1">
        <v>2812</v>
      </c>
      <c r="AH44" s="1">
        <v>3144</v>
      </c>
      <c r="AI44" s="1">
        <v>3783</v>
      </c>
      <c r="AJ44" s="1">
        <v>4150</v>
      </c>
      <c r="AK44" s="1">
        <v>4677</v>
      </c>
      <c r="AL44" s="1">
        <v>4735</v>
      </c>
      <c r="AM44" s="1">
        <v>5332</v>
      </c>
      <c r="AN44" s="1">
        <v>5510</v>
      </c>
      <c r="AO44" s="1">
        <v>5612</v>
      </c>
      <c r="AP44" s="1">
        <v>5126</v>
      </c>
      <c r="AQ44" s="1">
        <v>3317</v>
      </c>
      <c r="AR44" s="1">
        <v>3592</v>
      </c>
      <c r="AS44" s="1">
        <v>3996</v>
      </c>
      <c r="AT44" s="1">
        <v>4016</v>
      </c>
      <c r="AU44" s="1">
        <v>2912</v>
      </c>
      <c r="AV44" s="1">
        <v>3084</v>
      </c>
      <c r="AW44" s="1">
        <v>3631</v>
      </c>
      <c r="AX44" s="1">
        <v>3445</v>
      </c>
      <c r="AY44" s="1">
        <v>4458</v>
      </c>
      <c r="AZ44" s="1">
        <v>4506</v>
      </c>
    </row>
    <row r="45" spans="1:52" x14ac:dyDescent="0.3">
      <c r="A45" t="s">
        <v>181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>
        <v>291</v>
      </c>
      <c r="T45" s="1">
        <v>678</v>
      </c>
      <c r="U45" s="1">
        <v>829</v>
      </c>
      <c r="V45" s="1">
        <v>569</v>
      </c>
      <c r="W45" s="1">
        <v>1052</v>
      </c>
      <c r="X45" s="1">
        <v>1121</v>
      </c>
      <c r="Y45" s="1">
        <v>1320</v>
      </c>
      <c r="Z45" s="1">
        <v>1087</v>
      </c>
      <c r="AA45" s="1">
        <v>991</v>
      </c>
      <c r="AB45" s="1">
        <v>1057</v>
      </c>
      <c r="AC45" s="1">
        <v>1212</v>
      </c>
      <c r="AD45" s="1">
        <v>1555</v>
      </c>
      <c r="AE45" s="1">
        <v>2073</v>
      </c>
      <c r="AF45" s="1">
        <v>2311</v>
      </c>
      <c r="AG45" s="1">
        <v>2811</v>
      </c>
      <c r="AH45" s="1">
        <v>3712</v>
      </c>
      <c r="AI45" s="1">
        <v>5135</v>
      </c>
      <c r="AJ45" s="1">
        <v>4977</v>
      </c>
      <c r="AK45" s="1">
        <v>5642</v>
      </c>
      <c r="AL45" s="1">
        <v>6523</v>
      </c>
      <c r="AM45" s="1">
        <v>7592</v>
      </c>
      <c r="AN45" s="1">
        <v>8506</v>
      </c>
      <c r="AO45" s="1">
        <v>9242</v>
      </c>
      <c r="AP45" s="1">
        <v>7857</v>
      </c>
      <c r="AQ45" s="1">
        <v>6994</v>
      </c>
      <c r="AR45" s="1">
        <v>7535</v>
      </c>
      <c r="AS45" s="1">
        <v>7762</v>
      </c>
      <c r="AT45" s="1">
        <v>8301</v>
      </c>
      <c r="AU45" s="1">
        <v>8134</v>
      </c>
      <c r="AV45" s="1">
        <v>8934</v>
      </c>
      <c r="AW45" s="1">
        <v>10493</v>
      </c>
      <c r="AX45" s="1">
        <v>11854</v>
      </c>
      <c r="AY45" s="1">
        <v>13544</v>
      </c>
      <c r="AZ45" s="1">
        <v>14836</v>
      </c>
    </row>
    <row r="46" spans="1:52" x14ac:dyDescent="0.3">
      <c r="A46" t="s">
        <v>190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>
        <v>1625</v>
      </c>
      <c r="T46" s="1">
        <v>9169</v>
      </c>
      <c r="U46" s="1">
        <v>7765</v>
      </c>
      <c r="V46" s="1">
        <v>10043</v>
      </c>
      <c r="W46" s="1">
        <v>4068</v>
      </c>
      <c r="X46" s="1">
        <v>4584</v>
      </c>
      <c r="Y46" s="1">
        <v>4893</v>
      </c>
      <c r="Z46" s="1">
        <v>6595</v>
      </c>
      <c r="AA46" s="1">
        <v>8587</v>
      </c>
      <c r="AB46" s="1">
        <v>11855</v>
      </c>
      <c r="AC46" s="1">
        <v>14875</v>
      </c>
      <c r="AD46" s="1">
        <v>19533</v>
      </c>
      <c r="AE46" s="1">
        <v>24272</v>
      </c>
      <c r="AF46" s="1">
        <v>29363</v>
      </c>
      <c r="AG46" s="1">
        <v>36577</v>
      </c>
      <c r="AH46" s="1">
        <v>44388</v>
      </c>
      <c r="AI46" s="1">
        <v>36788</v>
      </c>
      <c r="AJ46" s="1">
        <v>34562</v>
      </c>
      <c r="AK46" s="1">
        <v>35164</v>
      </c>
      <c r="AL46" s="1">
        <v>44413</v>
      </c>
      <c r="AM46" s="1">
        <v>50252</v>
      </c>
      <c r="AN46" s="1">
        <v>50863</v>
      </c>
      <c r="AO46" s="1">
        <v>56204</v>
      </c>
      <c r="AP46" s="1">
        <v>44944</v>
      </c>
      <c r="AQ46" s="1">
        <v>42876</v>
      </c>
      <c r="AR46" s="1">
        <v>45902</v>
      </c>
      <c r="AS46" s="1">
        <v>49299</v>
      </c>
      <c r="AT46" s="1">
        <v>53035</v>
      </c>
      <c r="AU46" s="1">
        <v>52385</v>
      </c>
      <c r="AV46" s="1">
        <v>60934</v>
      </c>
      <c r="AW46" s="1">
        <v>77963</v>
      </c>
      <c r="AX46" s="1">
        <v>77876</v>
      </c>
      <c r="AY46" s="1">
        <v>82515</v>
      </c>
      <c r="AZ46" s="1">
        <v>89054</v>
      </c>
    </row>
    <row r="47" spans="1:52" x14ac:dyDescent="0.3">
      <c r="A47" t="s">
        <v>191</v>
      </c>
      <c r="B47" s="1">
        <v>4</v>
      </c>
      <c r="C47" s="1">
        <v>4</v>
      </c>
      <c r="D47" s="1">
        <v>4</v>
      </c>
      <c r="E47" s="1">
        <v>4</v>
      </c>
      <c r="F47" s="1">
        <v>4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>
        <v>15</v>
      </c>
      <c r="AB47" s="1">
        <v>14</v>
      </c>
      <c r="AC47" s="1">
        <v>17</v>
      </c>
      <c r="AD47" s="1">
        <v>20</v>
      </c>
      <c r="AE47" s="1">
        <v>23</v>
      </c>
      <c r="AF47" s="1">
        <v>23</v>
      </c>
      <c r="AG47" s="1">
        <v>24</v>
      </c>
      <c r="AH47" s="1">
        <v>29</v>
      </c>
      <c r="AI47" s="1">
        <v>32</v>
      </c>
      <c r="AJ47" s="1">
        <v>28</v>
      </c>
      <c r="AK47" s="1">
        <v>33</v>
      </c>
      <c r="AL47" s="1">
        <v>40</v>
      </c>
      <c r="AM47" s="1">
        <v>39</v>
      </c>
      <c r="AN47" s="1">
        <v>39</v>
      </c>
      <c r="AO47" s="1">
        <v>39</v>
      </c>
      <c r="AP47" s="1">
        <v>37</v>
      </c>
      <c r="AQ47" s="1">
        <v>41</v>
      </c>
      <c r="AR47" s="1">
        <v>45</v>
      </c>
      <c r="AS47" s="1">
        <v>48</v>
      </c>
      <c r="AT47" s="1">
        <v>54</v>
      </c>
      <c r="AU47" s="1">
        <v>52</v>
      </c>
      <c r="AV47" s="1">
        <v>62</v>
      </c>
      <c r="AW47" s="1">
        <v>61</v>
      </c>
      <c r="AX47" s="1">
        <v>63</v>
      </c>
      <c r="AY47" s="1">
        <v>65</v>
      </c>
      <c r="AZ47" s="1">
        <v>65</v>
      </c>
    </row>
    <row r="48" spans="1:52" x14ac:dyDescent="0.3">
      <c r="A48" t="s">
        <v>193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>
        <v>22193</v>
      </c>
      <c r="T48" s="1">
        <v>35025</v>
      </c>
      <c r="U48" s="1">
        <v>38012</v>
      </c>
      <c r="V48" s="1">
        <v>38275</v>
      </c>
      <c r="W48" s="1">
        <v>46083</v>
      </c>
      <c r="X48" s="1">
        <v>51867</v>
      </c>
      <c r="Y48" s="1">
        <v>43315</v>
      </c>
      <c r="Z48" s="1">
        <v>32661</v>
      </c>
      <c r="AA48" s="1">
        <v>32331</v>
      </c>
      <c r="AB48" s="1">
        <v>37863</v>
      </c>
      <c r="AC48" s="1">
        <v>42339</v>
      </c>
      <c r="AD48" s="1">
        <v>50096</v>
      </c>
      <c r="AE48" s="1">
        <v>64747</v>
      </c>
      <c r="AF48" s="1">
        <v>85996</v>
      </c>
      <c r="AG48" s="1">
        <v>107767</v>
      </c>
      <c r="AH48" s="1">
        <v>143260</v>
      </c>
      <c r="AI48" s="1">
        <v>181313</v>
      </c>
      <c r="AJ48" s="1">
        <v>117079</v>
      </c>
      <c r="AK48" s="1">
        <v>136011</v>
      </c>
      <c r="AL48" s="1">
        <v>163059</v>
      </c>
      <c r="AM48" s="1">
        <v>175781</v>
      </c>
      <c r="AN48" s="1">
        <v>183310</v>
      </c>
      <c r="AO48" s="1">
        <v>133392</v>
      </c>
      <c r="AP48" s="1">
        <v>90922</v>
      </c>
      <c r="AQ48" s="1">
        <v>93349</v>
      </c>
      <c r="AR48" s="1">
        <v>112064</v>
      </c>
      <c r="AS48" s="1">
        <v>130905</v>
      </c>
      <c r="AT48" s="1">
        <v>153904</v>
      </c>
      <c r="AU48" s="1">
        <v>156566</v>
      </c>
      <c r="AV48" s="1">
        <v>199835</v>
      </c>
      <c r="AW48" s="1">
        <v>161987</v>
      </c>
      <c r="AX48" s="1">
        <v>178763</v>
      </c>
      <c r="AY48" s="1">
        <v>190426</v>
      </c>
      <c r="AZ48" s="1">
        <v>205742</v>
      </c>
    </row>
    <row r="49" spans="1:52" x14ac:dyDescent="0.3">
      <c r="A49" t="s">
        <v>198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>
        <v>4476</v>
      </c>
      <c r="T49" s="1">
        <v>6897</v>
      </c>
      <c r="U49" s="1">
        <v>8175</v>
      </c>
      <c r="V49" s="1">
        <v>12746</v>
      </c>
      <c r="W49" s="1">
        <v>17453</v>
      </c>
      <c r="X49" s="1">
        <v>18433</v>
      </c>
      <c r="Y49" s="1">
        <v>18738</v>
      </c>
      <c r="Z49" s="1">
        <v>21362</v>
      </c>
      <c r="AA49" s="1">
        <v>17195</v>
      </c>
      <c r="AB49" s="1">
        <v>14581</v>
      </c>
      <c r="AC49" s="1">
        <v>12106</v>
      </c>
      <c r="AD49" s="1">
        <v>12697</v>
      </c>
      <c r="AE49" s="1">
        <v>15045</v>
      </c>
      <c r="AF49" s="1">
        <v>17939</v>
      </c>
      <c r="AG49" s="1">
        <v>21344</v>
      </c>
      <c r="AH49" s="1">
        <v>27963</v>
      </c>
      <c r="AI49" s="1">
        <v>35858</v>
      </c>
      <c r="AJ49" s="1">
        <v>41945</v>
      </c>
      <c r="AK49" s="1">
        <v>49772</v>
      </c>
      <c r="AL49" s="1">
        <v>60213</v>
      </c>
      <c r="AM49" s="1">
        <v>67520</v>
      </c>
      <c r="AN49" s="1">
        <v>73192</v>
      </c>
      <c r="AO49" s="1">
        <v>80848</v>
      </c>
      <c r="AP49" s="1">
        <v>85662</v>
      </c>
      <c r="AQ49" s="1">
        <v>85658</v>
      </c>
      <c r="AR49" s="1">
        <v>69703</v>
      </c>
      <c r="AS49" s="1">
        <v>58696</v>
      </c>
      <c r="AT49" s="1">
        <v>67294</v>
      </c>
      <c r="AU49" s="1">
        <v>66443</v>
      </c>
      <c r="AV49" s="1">
        <v>77340</v>
      </c>
      <c r="AW49" s="1">
        <v>90125</v>
      </c>
      <c r="AX49" s="1">
        <v>102634</v>
      </c>
      <c r="AY49" s="1">
        <v>114962</v>
      </c>
      <c r="AZ49" s="1">
        <v>132484</v>
      </c>
    </row>
    <row r="50" spans="1:52" x14ac:dyDescent="0.3">
      <c r="A50" t="s">
        <v>199</v>
      </c>
      <c r="B50" s="1">
        <v>81</v>
      </c>
      <c r="C50" s="1">
        <v>78</v>
      </c>
      <c r="D50" s="1">
        <v>82</v>
      </c>
      <c r="E50" s="1">
        <v>100</v>
      </c>
      <c r="F50" s="1">
        <v>132</v>
      </c>
      <c r="G50" s="1">
        <v>121</v>
      </c>
      <c r="H50" s="1">
        <v>114</v>
      </c>
      <c r="I50" s="1">
        <v>114</v>
      </c>
      <c r="J50" s="1">
        <v>117</v>
      </c>
      <c r="K50" s="1">
        <v>144</v>
      </c>
      <c r="L50" s="1">
        <v>132</v>
      </c>
      <c r="M50" s="1">
        <v>128</v>
      </c>
      <c r="N50" s="1">
        <v>139</v>
      </c>
      <c r="O50" s="1">
        <v>158</v>
      </c>
      <c r="P50" s="1">
        <v>154</v>
      </c>
      <c r="Q50" s="1">
        <v>169</v>
      </c>
      <c r="R50" s="1">
        <v>201</v>
      </c>
      <c r="S50" s="1">
        <v>209</v>
      </c>
      <c r="T50" s="1">
        <v>200</v>
      </c>
      <c r="U50" s="1">
        <v>234</v>
      </c>
      <c r="V50" s="1">
        <v>249</v>
      </c>
      <c r="W50" s="1">
        <v>261</v>
      </c>
      <c r="X50" s="1">
        <v>273</v>
      </c>
      <c r="Y50" s="1">
        <v>262</v>
      </c>
      <c r="Z50" s="1">
        <v>268</v>
      </c>
      <c r="AA50" s="1">
        <v>272</v>
      </c>
      <c r="AB50" s="1">
        <v>257</v>
      </c>
      <c r="AC50" s="1">
        <v>262</v>
      </c>
      <c r="AD50" s="1">
        <v>315</v>
      </c>
      <c r="AE50" s="1">
        <v>365</v>
      </c>
      <c r="AF50" s="1">
        <v>390</v>
      </c>
      <c r="AG50" s="1">
        <v>435</v>
      </c>
      <c r="AH50" s="1">
        <v>517</v>
      </c>
      <c r="AI50" s="1">
        <v>582</v>
      </c>
      <c r="AJ50" s="1">
        <v>590</v>
      </c>
      <c r="AK50" s="1">
        <v>652</v>
      </c>
      <c r="AL50" s="1">
        <v>738</v>
      </c>
      <c r="AM50" s="1">
        <v>736</v>
      </c>
      <c r="AN50" s="1">
        <v>755</v>
      </c>
      <c r="AO50" s="1">
        <v>775</v>
      </c>
      <c r="AP50" s="1">
        <v>774</v>
      </c>
      <c r="AQ50" s="1">
        <v>798</v>
      </c>
      <c r="AR50" s="1">
        <v>880</v>
      </c>
      <c r="AS50" s="1">
        <v>928</v>
      </c>
      <c r="AT50" s="1">
        <v>930</v>
      </c>
      <c r="AU50" s="1">
        <v>1008</v>
      </c>
      <c r="AV50" s="1">
        <v>921</v>
      </c>
      <c r="AW50" s="1">
        <v>1072</v>
      </c>
      <c r="AX50" s="1">
        <v>1158</v>
      </c>
      <c r="AY50" s="1">
        <v>1206</v>
      </c>
      <c r="AZ50" s="1">
        <v>1267</v>
      </c>
    </row>
    <row r="51" spans="1:52" x14ac:dyDescent="0.3">
      <c r="A51" t="s">
        <v>202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>
        <v>12644</v>
      </c>
      <c r="R51" s="1">
        <v>14665</v>
      </c>
      <c r="S51" s="1">
        <v>17959</v>
      </c>
      <c r="T51" s="1">
        <v>21737</v>
      </c>
      <c r="U51" s="1">
        <v>28019</v>
      </c>
      <c r="V51" s="1">
        <v>12796</v>
      </c>
      <c r="W51" s="1">
        <v>6496</v>
      </c>
      <c r="X51" s="1">
        <v>6838</v>
      </c>
      <c r="Y51" s="1">
        <v>6322</v>
      </c>
      <c r="Z51" s="1">
        <v>7639</v>
      </c>
      <c r="AA51" s="1">
        <v>9679</v>
      </c>
      <c r="AB51" s="1">
        <v>9853</v>
      </c>
      <c r="AC51" s="1">
        <v>10693</v>
      </c>
      <c r="AD51" s="1">
        <v>11778</v>
      </c>
      <c r="AE51" s="1">
        <v>13868</v>
      </c>
      <c r="AF51" s="1">
        <v>16732</v>
      </c>
      <c r="AG51" s="1">
        <v>19063</v>
      </c>
      <c r="AH51" s="1">
        <v>21651</v>
      </c>
      <c r="AI51" s="1">
        <v>26911</v>
      </c>
      <c r="AJ51" s="1">
        <v>25130</v>
      </c>
      <c r="AK51" s="1">
        <v>30907</v>
      </c>
      <c r="AL51" s="1">
        <v>32726</v>
      </c>
      <c r="AM51" s="1">
        <v>35401</v>
      </c>
      <c r="AN51" s="1">
        <v>40415</v>
      </c>
      <c r="AO51" s="1">
        <v>43229</v>
      </c>
      <c r="AP51" s="1">
        <v>42444</v>
      </c>
      <c r="AQ51" s="1">
        <v>31318</v>
      </c>
      <c r="AR51" s="1">
        <v>26842</v>
      </c>
      <c r="AS51" s="1">
        <v>21606</v>
      </c>
      <c r="AT51" s="1">
        <v>21888</v>
      </c>
      <c r="AU51" s="1">
        <v>20220</v>
      </c>
      <c r="AV51" s="1">
        <v>19394</v>
      </c>
      <c r="AW51" s="1">
        <v>23534</v>
      </c>
      <c r="AX51" s="1">
        <v>19412</v>
      </c>
      <c r="AY51" s="1">
        <v>19101</v>
      </c>
      <c r="AZ51" s="1">
        <v>17401</v>
      </c>
    </row>
    <row r="52" spans="1:52" x14ac:dyDescent="0.3">
      <c r="A52" t="s">
        <v>205</v>
      </c>
      <c r="B52" s="1">
        <v>4692</v>
      </c>
      <c r="C52" s="1">
        <v>4637</v>
      </c>
      <c r="D52" s="1">
        <v>4683</v>
      </c>
      <c r="E52" s="1">
        <v>4686</v>
      </c>
      <c r="F52" s="1">
        <v>5559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>
        <v>10143</v>
      </c>
      <c r="R52" s="1">
        <v>9450</v>
      </c>
      <c r="S52" s="1">
        <v>7793</v>
      </c>
      <c r="T52" s="1">
        <v>7569</v>
      </c>
      <c r="U52" s="1">
        <v>7959</v>
      </c>
      <c r="V52" s="1">
        <v>8263</v>
      </c>
      <c r="W52" s="1">
        <v>10117</v>
      </c>
      <c r="X52" s="1">
        <v>10386</v>
      </c>
      <c r="Y52" s="1">
        <v>12099</v>
      </c>
      <c r="Z52" s="1">
        <v>11768</v>
      </c>
      <c r="AA52" s="1">
        <v>11340</v>
      </c>
      <c r="AB52" s="1">
        <v>11243</v>
      </c>
      <c r="AC52" s="1">
        <v>10734</v>
      </c>
      <c r="AD52" s="1">
        <v>9573</v>
      </c>
      <c r="AE52" s="1">
        <v>9465</v>
      </c>
      <c r="AF52" s="1">
        <v>9045</v>
      </c>
      <c r="AG52" s="1">
        <v>8141</v>
      </c>
      <c r="AH52" s="1">
        <v>7784</v>
      </c>
      <c r="AI52" s="1">
        <v>6707</v>
      </c>
      <c r="AJ52" s="1">
        <v>9666</v>
      </c>
      <c r="AK52" s="1">
        <v>12042</v>
      </c>
      <c r="AL52" s="1">
        <v>14102</v>
      </c>
      <c r="AM52" s="1">
        <v>17115</v>
      </c>
      <c r="AN52" s="1">
        <v>19091</v>
      </c>
      <c r="AO52" s="1">
        <v>19496</v>
      </c>
      <c r="AP52" s="1">
        <v>19963</v>
      </c>
      <c r="AQ52" s="1">
        <v>20549</v>
      </c>
      <c r="AR52" s="1">
        <v>22040</v>
      </c>
      <c r="AS52" s="1">
        <v>36922</v>
      </c>
      <c r="AT52" s="1">
        <v>26033</v>
      </c>
      <c r="AU52" s="1">
        <v>26878</v>
      </c>
      <c r="AV52" s="1">
        <v>36016</v>
      </c>
      <c r="AW52" s="1">
        <v>32613</v>
      </c>
      <c r="AX52" s="1">
        <v>35144</v>
      </c>
      <c r="AY52" s="1">
        <v>35224</v>
      </c>
      <c r="AZ52" s="1">
        <v>38172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B5D09-DA6B-438D-A0F3-81755D65AEFA}">
  <dimension ref="A1:BE60"/>
  <sheetViews>
    <sheetView zoomScale="90" zoomScaleNormal="90" workbookViewId="0">
      <selection activeCell="E4" sqref="E4"/>
    </sheetView>
  </sheetViews>
  <sheetFormatPr defaultRowHeight="14.4" x14ac:dyDescent="0.3"/>
  <cols>
    <col min="1" max="5" width="8.88671875" style="3"/>
    <col min="6" max="8" width="11.109375" style="3" bestFit="1" customWidth="1"/>
    <col min="9" max="9" width="11.44140625" style="3" customWidth="1"/>
    <col min="10" max="12" width="11.21875" style="3" customWidth="1"/>
    <col min="13" max="14" width="10.77734375" style="3" customWidth="1"/>
    <col min="15" max="15" width="11.44140625" style="3" customWidth="1"/>
    <col min="16" max="16" width="10.44140625" style="3" customWidth="1"/>
    <col min="17" max="17" width="10.77734375" style="3" customWidth="1"/>
    <col min="18" max="18" width="11" style="3" customWidth="1"/>
    <col min="19" max="19" width="10.33203125" style="3" customWidth="1"/>
    <col min="20" max="21" width="10.21875" style="3" customWidth="1"/>
    <col min="22" max="22" width="11.109375" style="3" customWidth="1"/>
    <col min="23" max="23" width="10.21875" style="3" customWidth="1"/>
    <col min="24" max="24" width="10.33203125" style="3" customWidth="1"/>
    <col min="25" max="25" width="10.88671875" style="3" customWidth="1"/>
    <col min="26" max="26" width="11.109375" style="3" customWidth="1"/>
    <col min="27" max="27" width="12" style="3" customWidth="1"/>
    <col min="28" max="29" width="10.6640625" style="3" customWidth="1"/>
    <col min="30" max="30" width="10.21875" style="3" customWidth="1"/>
    <col min="31" max="31" width="10.33203125" style="3" customWidth="1"/>
    <col min="32" max="32" width="10.21875" style="3" customWidth="1"/>
    <col min="33" max="33" width="11.21875" style="3" customWidth="1"/>
    <col min="34" max="34" width="11.5546875" style="3" customWidth="1"/>
    <col min="35" max="35" width="12.6640625" style="3" customWidth="1"/>
    <col min="36" max="37" width="11.44140625" style="3" customWidth="1"/>
    <col min="38" max="38" width="11.5546875" style="3" customWidth="1"/>
    <col min="39" max="39" width="10.44140625" style="3" customWidth="1"/>
    <col min="40" max="40" width="11.109375" style="3" customWidth="1"/>
    <col min="41" max="42" width="10.6640625" style="3" customWidth="1"/>
    <col min="43" max="43" width="11.33203125" style="3" customWidth="1"/>
    <col min="44" max="44" width="10.77734375" style="3" customWidth="1"/>
    <col min="45" max="46" width="11" style="3" customWidth="1"/>
    <col min="47" max="47" width="10.77734375" style="3" customWidth="1"/>
    <col min="48" max="48" width="11.5546875" style="3" customWidth="1"/>
    <col min="49" max="49" width="11" style="3" customWidth="1"/>
    <col min="50" max="50" width="11.21875" style="3" customWidth="1"/>
    <col min="51" max="51" width="12.109375" style="3" customWidth="1"/>
    <col min="52" max="52" width="10.88671875" style="3" customWidth="1"/>
    <col min="53" max="53" width="12.109375" style="3" customWidth="1"/>
    <col min="54" max="55" width="10.44140625" style="3" customWidth="1"/>
    <col min="56" max="56" width="10.33203125" style="3" customWidth="1"/>
    <col min="57" max="16384" width="8.88671875" style="3"/>
  </cols>
  <sheetData>
    <row r="1" spans="1:57" s="6" customFormat="1" ht="43.2" customHeight="1" x14ac:dyDescent="0.3">
      <c r="B1" s="8" t="s">
        <v>265</v>
      </c>
      <c r="C1" s="8" t="s">
        <v>0</v>
      </c>
    </row>
    <row r="2" spans="1:57" ht="55.2" x14ac:dyDescent="0.3">
      <c r="A2" s="4" t="s">
        <v>206</v>
      </c>
      <c r="B2" s="3">
        <f>FIND(":",A2)+LEN(": ")</f>
        <v>17</v>
      </c>
      <c r="C2" s="6" t="str">
        <f>MID(A2,B2,LEN(A2))</f>
        <v>Bangladesh</v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</row>
    <row r="3" spans="1:57" ht="41.4" x14ac:dyDescent="0.3">
      <c r="A3" s="4" t="s">
        <v>207</v>
      </c>
      <c r="B3" s="3">
        <f t="shared" ref="B3:B60" si="0">FIND(":",A3)+LEN(": ")</f>
        <v>18</v>
      </c>
      <c r="C3" s="6" t="str">
        <f t="shared" ref="C3:C60" si="1">MID(A3,B3,LEN(A3))</f>
        <v>Bahrain</v>
      </c>
      <c r="D3"/>
      <c r="E3" t="s">
        <v>266</v>
      </c>
      <c r="F3">
        <v>1975</v>
      </c>
      <c r="G3">
        <v>1976</v>
      </c>
      <c r="H3">
        <v>1977</v>
      </c>
      <c r="I3">
        <v>1978</v>
      </c>
      <c r="J3">
        <v>1979</v>
      </c>
      <c r="K3">
        <v>1980</v>
      </c>
      <c r="L3">
        <v>1981</v>
      </c>
      <c r="M3">
        <v>1982</v>
      </c>
      <c r="N3">
        <v>1983</v>
      </c>
      <c r="O3">
        <v>1984</v>
      </c>
      <c r="P3">
        <v>1985</v>
      </c>
      <c r="Q3">
        <v>1986</v>
      </c>
      <c r="R3">
        <v>1987</v>
      </c>
      <c r="S3">
        <v>1988</v>
      </c>
      <c r="T3">
        <v>1989</v>
      </c>
      <c r="U3">
        <v>1990</v>
      </c>
      <c r="V3">
        <v>1991</v>
      </c>
      <c r="W3">
        <v>1992</v>
      </c>
      <c r="X3">
        <v>1993</v>
      </c>
      <c r="Y3">
        <v>1994</v>
      </c>
      <c r="Z3">
        <v>1995</v>
      </c>
      <c r="AA3">
        <v>1996</v>
      </c>
      <c r="AB3">
        <v>1997</v>
      </c>
      <c r="AC3">
        <v>1998</v>
      </c>
      <c r="AD3">
        <v>1999</v>
      </c>
      <c r="AE3">
        <v>2000</v>
      </c>
      <c r="AF3">
        <v>2001</v>
      </c>
      <c r="AG3">
        <v>2002</v>
      </c>
      <c r="AH3">
        <v>2003</v>
      </c>
      <c r="AI3">
        <v>2004</v>
      </c>
      <c r="AJ3">
        <v>2005</v>
      </c>
      <c r="AK3">
        <v>2006</v>
      </c>
      <c r="AL3">
        <v>2007</v>
      </c>
      <c r="AM3">
        <v>2008</v>
      </c>
      <c r="AN3">
        <v>2009</v>
      </c>
      <c r="AO3">
        <v>2010</v>
      </c>
      <c r="AP3">
        <v>2011</v>
      </c>
      <c r="AQ3">
        <v>2012</v>
      </c>
      <c r="AR3">
        <v>2013</v>
      </c>
      <c r="AS3">
        <v>2014</v>
      </c>
      <c r="AT3">
        <v>2015</v>
      </c>
      <c r="AU3">
        <v>2016</v>
      </c>
      <c r="AV3">
        <v>2017</v>
      </c>
      <c r="AW3">
        <v>2018</v>
      </c>
      <c r="AX3">
        <v>2019</v>
      </c>
      <c r="AY3">
        <v>2020</v>
      </c>
      <c r="AZ3">
        <v>2021</v>
      </c>
      <c r="BA3">
        <v>2022</v>
      </c>
      <c r="BB3">
        <v>2023</v>
      </c>
      <c r="BC3">
        <v>2024</v>
      </c>
      <c r="BD3">
        <v>2025</v>
      </c>
    </row>
    <row r="4" spans="1:57" ht="55.2" x14ac:dyDescent="0.3">
      <c r="A4" s="7" t="s">
        <v>208</v>
      </c>
      <c r="B4" s="3">
        <f t="shared" si="0"/>
        <v>20</v>
      </c>
      <c r="C4" s="6" t="str">
        <f t="shared" si="1"/>
        <v>Qatar</v>
      </c>
      <c r="D4"/>
      <c r="E4" t="str">
        <f>GDP_Dashboard!$F$7</f>
        <v>Angola</v>
      </c>
      <c r="F4" s="9">
        <f ca="1">SUMIF('Data for 1st chart'!$A$2:$A$52, GDP_Dashboard!$F$7, 'Data for 1st chart'!B2:AZ2)</f>
        <v>4147</v>
      </c>
      <c r="G4" s="9">
        <f ca="1">SUMIF('Data for 1st chart'!$A$2:$A$52, GDP_Dashboard!$F$7, 'Data for 1st chart'!C2:BA2)</f>
        <v>3981</v>
      </c>
      <c r="H4" s="9">
        <f ca="1">SUMIF('Data for 1st chart'!$A$2:$A$52, GDP_Dashboard!$F$7, 'Data for 1st chart'!D2:BB2)</f>
        <v>4344</v>
      </c>
      <c r="I4" s="9">
        <f ca="1">SUMIF('Data for 1st chart'!$A$2:$A$52, GDP_Dashboard!$F$7, 'Data for 1st chart'!E2:BC2)</f>
        <v>4845</v>
      </c>
      <c r="J4" s="9">
        <f ca="1">SUMIF('Data for 1st chart'!$A$2:$A$52, GDP_Dashboard!$F$7, 'Data for 1st chart'!F2:BD2)</f>
        <v>5380</v>
      </c>
      <c r="K4" s="9">
        <f ca="1">SUMIF('Data for 1st chart'!$A$2:$A$52, GDP_Dashboard!$F$7, 'Data for 1st chart'!G2:BE2)</f>
        <v>8730</v>
      </c>
      <c r="L4" s="9">
        <f ca="1">SUMIF('Data for 1st chart'!$A$2:$A$52, GDP_Dashboard!$F$7, 'Data for 1st chart'!H2:BF2)</f>
        <v>8170</v>
      </c>
      <c r="M4" s="9">
        <f ca="1">SUMIF('Data for 1st chart'!$A$2:$A$52, GDP_Dashboard!$F$7, 'Data for 1st chart'!I2:BG2)</f>
        <v>8170</v>
      </c>
      <c r="N4" s="9">
        <f ca="1">SUMIF('Data for 1st chart'!$A$2:$A$52, GDP_Dashboard!$F$7, 'Data for 1st chart'!J2:BH2)</f>
        <v>8514</v>
      </c>
      <c r="O4" s="9">
        <f ca="1">SUMIF('Data for 1st chart'!$A$2:$A$52, GDP_Dashboard!$F$7, 'Data for 1st chart'!K2:BI2)</f>
        <v>9025</v>
      </c>
      <c r="P4" s="9">
        <f ca="1">SUMIF('Data for 1st chart'!$A$2:$A$52, GDP_Dashboard!$F$7, 'Data for 1st chart'!L2:BJ2)</f>
        <v>11119</v>
      </c>
      <c r="Q4" s="9">
        <f ca="1">SUMIF('Data for 1st chart'!$A$2:$A$52, GDP_Dashboard!$F$7, 'Data for 1st chart'!M2:BK2)</f>
        <v>10411</v>
      </c>
      <c r="R4" s="9">
        <f ca="1">SUMIF('Data for 1st chart'!$A$2:$A$52, GDP_Dashboard!$F$7, 'Data for 1st chart'!N2:BL2)</f>
        <v>11900</v>
      </c>
      <c r="S4" s="9">
        <f ca="1">SUMIF('Data for 1st chart'!$A$2:$A$52, GDP_Dashboard!$F$7, 'Data for 1st chart'!O2:BM2)</f>
        <v>12909</v>
      </c>
      <c r="T4" s="9">
        <f ca="1">SUMIF('Data for 1st chart'!$A$2:$A$52, GDP_Dashboard!$F$7, 'Data for 1st chart'!P2:BN2)</f>
        <v>15017</v>
      </c>
      <c r="U4" s="9">
        <f ca="1">SUMIF('Data for 1st chart'!$A$2:$A$52, GDP_Dashboard!$F$7, 'Data for 1st chart'!Q2:BO2)</f>
        <v>16529</v>
      </c>
      <c r="V4" s="9">
        <f ca="1">SUMIF('Data for 1st chart'!$A$2:$A$52, GDP_Dashboard!$F$7, 'Data for 1st chart'!R2:BP2)</f>
        <v>16022</v>
      </c>
      <c r="W4" s="9">
        <f ca="1">SUMIF('Data for 1st chart'!$A$2:$A$52, GDP_Dashboard!$F$7, 'Data for 1st chart'!S2:BQ2)</f>
        <v>12354</v>
      </c>
      <c r="X4" s="9">
        <f ca="1">SUMIF('Data for 1st chart'!$A$2:$A$52, GDP_Dashboard!$F$7, 'Data for 1st chart'!T2:BR2)</f>
        <v>8966</v>
      </c>
      <c r="Y4" s="9">
        <f ca="1">SUMIF('Data for 1st chart'!$A$2:$A$52, GDP_Dashboard!$F$7, 'Data for 1st chart'!U2:BS2)</f>
        <v>6529</v>
      </c>
      <c r="Z4" s="9">
        <f ca="1">SUMIF('Data for 1st chart'!$A$2:$A$52, GDP_Dashboard!$F$7, 'Data for 1st chart'!V2:BT2)</f>
        <v>8148</v>
      </c>
      <c r="AA4" s="9">
        <f ca="1">SUMIF('Data for 1st chart'!$A$2:$A$52, GDP_Dashboard!$F$7, 'Data for 1st chart'!W2:BU2)</f>
        <v>10510</v>
      </c>
      <c r="AB4" s="9">
        <f ca="1">SUMIF('Data for 1st chart'!$A$2:$A$52, GDP_Dashboard!$F$7, 'Data for 1st chart'!X2:BV2)</f>
        <v>12344</v>
      </c>
      <c r="AC4" s="9">
        <f ca="1">SUMIF('Data for 1st chart'!$A$2:$A$52, GDP_Dashboard!$F$7, 'Data for 1st chart'!Y2:BW2)</f>
        <v>10464</v>
      </c>
      <c r="AD4" s="9">
        <f ca="1">SUMIF('Data for 1st chart'!$A$2:$A$52, GDP_Dashboard!$F$7, 'Data for 1st chart'!Z2:BX2)</f>
        <v>9895</v>
      </c>
      <c r="AE4" s="9">
        <f ca="1">SUMIF('Data for 1st chart'!$A$2:$A$52, GDP_Dashboard!$F$7, 'Data for 1st chart'!AA2:BY2)</f>
        <v>12646</v>
      </c>
      <c r="AF4" s="9">
        <f ca="1">SUMIF('Data for 1st chart'!$A$2:$A$52, GDP_Dashboard!$F$7, 'Data for 1st chart'!AB2:BZ2)</f>
        <v>12378</v>
      </c>
      <c r="AG4" s="9">
        <f ca="1">SUMIF('Data for 1st chart'!$A$2:$A$52, GDP_Dashboard!$F$7, 'Data for 1st chart'!AC2:CA2)</f>
        <v>17312</v>
      </c>
      <c r="AH4" s="9">
        <f ca="1">SUMIF('Data for 1st chart'!$A$2:$A$52, GDP_Dashboard!$F$7, 'Data for 1st chart'!AD2:CB2)</f>
        <v>20342</v>
      </c>
      <c r="AI4" s="9">
        <f ca="1">SUMIF('Data for 1st chart'!$A$2:$A$52, GDP_Dashboard!$F$7, 'Data for 1st chart'!AE2:CC2)</f>
        <v>26998</v>
      </c>
      <c r="AJ4" s="9">
        <f ca="1">SUMIF('Data for 1st chart'!$A$2:$A$52, GDP_Dashboard!$F$7, 'Data for 1st chart'!AF2:CD2)</f>
        <v>41397</v>
      </c>
      <c r="AK4" s="9">
        <f ca="1">SUMIF('Data for 1st chart'!$A$2:$A$52, GDP_Dashboard!$F$7, 'Data for 1st chart'!AG2:CE2)</f>
        <v>58654</v>
      </c>
      <c r="AL4" s="9">
        <f ca="1">SUMIF('Data for 1st chart'!$A$2:$A$52, GDP_Dashboard!$F$7, 'Data for 1st chart'!AH2:CF2)</f>
        <v>73038</v>
      </c>
      <c r="AM4" s="9">
        <f ca="1">SUMIF('Data for 1st chart'!$A$2:$A$52, GDP_Dashboard!$F$7, 'Data for 1st chart'!AI2:CG2)</f>
        <v>98790</v>
      </c>
      <c r="AN4" s="9">
        <f ca="1">SUMIF('Data for 1st chart'!$A$2:$A$52, GDP_Dashboard!$F$7, 'Data for 1st chart'!AJ2:CH2)</f>
        <v>81705</v>
      </c>
      <c r="AO4" s="9">
        <f ca="1">SUMIF('Data for 1st chart'!$A$2:$A$52, GDP_Dashboard!$F$7, 'Data for 1st chart'!AK2:CI2)</f>
        <v>95547</v>
      </c>
      <c r="AP4" s="9">
        <f ca="1">SUMIF('Data for 1st chart'!$A$2:$A$52, GDP_Dashboard!$F$7, 'Data for 1st chart'!AL2:CJ2)</f>
        <v>125552</v>
      </c>
      <c r="AQ4" s="9">
        <f ca="1">SUMIF('Data for 1st chart'!$A$2:$A$52, GDP_Dashboard!$F$7, 'Data for 1st chart'!AM2:CK2)</f>
        <v>143573</v>
      </c>
      <c r="AR4" s="9">
        <f ca="1">SUMIF('Data for 1st chart'!$A$2:$A$52, GDP_Dashboard!$F$7, 'Data for 1st chart'!AN2:CL2)</f>
        <v>153761</v>
      </c>
      <c r="AS4" s="9">
        <f ca="1">SUMIF('Data for 1st chart'!$A$2:$A$52, GDP_Dashboard!$F$7, 'Data for 1st chart'!AO2:CM2)</f>
        <v>164448</v>
      </c>
      <c r="AT4" s="9">
        <f ca="1">SUMIF('Data for 1st chart'!$A$2:$A$52, GDP_Dashboard!$F$7, 'Data for 1st chart'!AP2:CN2)</f>
        <v>131661</v>
      </c>
      <c r="AU4" s="9">
        <f ca="1">SUMIF('Data for 1st chart'!$A$2:$A$52, GDP_Dashboard!$F$7, 'Data for 1st chart'!AQ2:CO2)</f>
        <v>114764</v>
      </c>
      <c r="AV4" s="9">
        <f ca="1">SUMIF('Data for 1st chart'!$A$2:$A$52, GDP_Dashboard!$F$7, 'Data for 1st chart'!AR2:CP2)</f>
        <v>139835</v>
      </c>
      <c r="AW4" s="9">
        <f ca="1">SUMIF('Data for 1st chart'!$A$2:$A$52, GDP_Dashboard!$F$7, 'Data for 1st chart'!AS2:CQ2)</f>
        <v>114189</v>
      </c>
      <c r="AX4" s="9">
        <f ca="1">SUMIF('Data for 1st chart'!$A$2:$A$52, GDP_Dashboard!$F$7, 'Data for 1st chart'!AT2:CR2)</f>
        <v>94671</v>
      </c>
      <c r="AY4" s="9">
        <f ca="1">SUMIF('Data for 1st chart'!$A$2:$A$52, GDP_Dashboard!$F$7, 'Data for 1st chart'!AU2:CS2)</f>
        <v>66521</v>
      </c>
      <c r="AZ4" s="9">
        <f ca="1">SUMIF('Data for 1st chart'!$A$2:$A$52, GDP_Dashboard!$F$7, 'Data for 1st chart'!AV2:CT2)</f>
        <v>84375</v>
      </c>
      <c r="BA4" s="9">
        <f ca="1">SUMIF('Data for 1st chart'!$A$2:$A$52, GDP_Dashboard!$F$7, 'Data for 1st chart'!AW2:CU2)</f>
        <v>142442</v>
      </c>
      <c r="BB4" s="9">
        <f ca="1">SUMIF('Data for 1st chart'!$A$2:$A$52, GDP_Dashboard!$F$7, 'Data for 1st chart'!AX2:CV2)</f>
        <v>109764</v>
      </c>
      <c r="BC4" s="9">
        <f ca="1">SUMIF('Data for 1st chart'!$A$2:$A$52, GDP_Dashboard!$F$7, 'Data for 1st chart'!AY2:CW2)</f>
        <v>115946</v>
      </c>
      <c r="BD4" s="9">
        <f ca="1">SUMIF('Data for 1st chart'!$A$2:$A$52, GDP_Dashboard!$F$7, 'Data for 1st chart'!AZ2:CX2)</f>
        <v>113343</v>
      </c>
    </row>
    <row r="5" spans="1:57" ht="110.4" x14ac:dyDescent="0.3">
      <c r="A5" s="4" t="s">
        <v>209</v>
      </c>
      <c r="B5" s="3">
        <f t="shared" si="0"/>
        <v>19</v>
      </c>
      <c r="C5" s="6" t="str">
        <f t="shared" si="1"/>
        <v>The United Arab Emirates</v>
      </c>
      <c r="D5"/>
      <c r="E5" s="6" t="s">
        <v>15</v>
      </c>
      <c r="F5" s="1">
        <v>8476</v>
      </c>
      <c r="G5" s="1">
        <v>9447</v>
      </c>
      <c r="H5" s="1">
        <v>9950</v>
      </c>
      <c r="I5" s="1">
        <v>12751</v>
      </c>
      <c r="J5" s="1">
        <v>14758</v>
      </c>
      <c r="K5" s="1">
        <v>24775</v>
      </c>
      <c r="L5" s="1">
        <v>26355</v>
      </c>
      <c r="M5" s="1">
        <v>24678</v>
      </c>
      <c r="N5" s="1">
        <v>23904</v>
      </c>
      <c r="O5" s="1">
        <v>26817</v>
      </c>
      <c r="P5" s="1">
        <v>28819</v>
      </c>
      <c r="Q5" s="1">
        <v>29639</v>
      </c>
      <c r="R5" s="1">
        <v>32449</v>
      </c>
      <c r="S5" s="1">
        <v>34914</v>
      </c>
      <c r="T5" s="1">
        <v>38070</v>
      </c>
      <c r="U5" s="1">
        <v>41068</v>
      </c>
      <c r="V5" s="1">
        <v>42488</v>
      </c>
      <c r="W5" s="1">
        <v>43292</v>
      </c>
      <c r="X5" s="1">
        <v>43684</v>
      </c>
      <c r="Y5" s="1">
        <v>46438</v>
      </c>
      <c r="Z5" s="1">
        <v>51842</v>
      </c>
      <c r="AA5" s="1">
        <v>55445</v>
      </c>
      <c r="AB5" s="1">
        <v>57599</v>
      </c>
      <c r="AC5" s="1">
        <v>59879</v>
      </c>
      <c r="AD5" s="1">
        <v>61526</v>
      </c>
      <c r="AE5" s="1">
        <v>61687</v>
      </c>
      <c r="AF5" s="1">
        <v>62537</v>
      </c>
      <c r="AG5" s="1">
        <v>65036</v>
      </c>
      <c r="AH5" s="1">
        <v>71755</v>
      </c>
      <c r="AI5" s="1">
        <v>77152</v>
      </c>
      <c r="AJ5" s="1">
        <v>79530</v>
      </c>
      <c r="AK5" s="1">
        <v>86028</v>
      </c>
      <c r="AL5" s="1">
        <v>95374</v>
      </c>
      <c r="AM5" s="1">
        <v>109765</v>
      </c>
      <c r="AN5" s="1">
        <v>122760</v>
      </c>
      <c r="AO5" s="1">
        <v>138094</v>
      </c>
      <c r="AP5" s="1">
        <v>154097</v>
      </c>
      <c r="AQ5" s="1">
        <v>159749</v>
      </c>
      <c r="AR5" s="1">
        <v>179676</v>
      </c>
      <c r="AS5" s="1">
        <v>207102</v>
      </c>
      <c r="AT5" s="1">
        <v>233687</v>
      </c>
      <c r="AU5" s="1">
        <v>265236</v>
      </c>
      <c r="AV5" s="1">
        <v>293755</v>
      </c>
      <c r="AW5" s="1">
        <v>321379</v>
      </c>
      <c r="AX5" s="1">
        <v>351238</v>
      </c>
      <c r="AY5" s="1">
        <v>373902</v>
      </c>
      <c r="AZ5" s="1">
        <v>416265</v>
      </c>
      <c r="BA5" s="1">
        <v>460201</v>
      </c>
      <c r="BB5" s="1">
        <v>451534</v>
      </c>
      <c r="BC5" s="1">
        <v>451096</v>
      </c>
      <c r="BD5" s="1">
        <v>467218</v>
      </c>
    </row>
    <row r="6" spans="1:57" ht="69" x14ac:dyDescent="0.3">
      <c r="A6" s="4" t="s">
        <v>210</v>
      </c>
      <c r="B6" s="3">
        <f t="shared" si="0"/>
        <v>16</v>
      </c>
      <c r="C6" s="6" t="str">
        <f t="shared" si="1"/>
        <v>The Bahamas</v>
      </c>
      <c r="D6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</row>
    <row r="7" spans="1:57" ht="69" x14ac:dyDescent="0.3">
      <c r="A7" s="4" t="s">
        <v>211</v>
      </c>
      <c r="B7" s="3">
        <f t="shared" si="0"/>
        <v>21</v>
      </c>
      <c r="C7" s="6" t="str">
        <f t="shared" si="1"/>
        <v>Guinea-Bissau</v>
      </c>
      <c r="D7"/>
      <c r="E7" s="11" t="s">
        <v>284</v>
      </c>
      <c r="F7" s="15">
        <f ca="1">AVERAGE(AY4:BD4)</f>
        <v>105398.5</v>
      </c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</row>
    <row r="8" spans="1:57" ht="57.6" x14ac:dyDescent="0.3">
      <c r="A8" s="4" t="s">
        <v>212</v>
      </c>
      <c r="B8" s="3">
        <f t="shared" si="0"/>
        <v>19</v>
      </c>
      <c r="C8" s="6" t="str">
        <f t="shared" si="1"/>
        <v>Grenada</v>
      </c>
      <c r="D8"/>
      <c r="E8" s="11" t="s">
        <v>285</v>
      </c>
      <c r="F8" s="1">
        <f>AVERAGE(AY5:BD5)</f>
        <v>436702.66666666669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</row>
    <row r="9" spans="1:57" ht="55.2" x14ac:dyDescent="0.3">
      <c r="A9" s="4" t="s">
        <v>213</v>
      </c>
      <c r="B9" s="3">
        <f t="shared" si="0"/>
        <v>16</v>
      </c>
      <c r="C9" s="6" t="str">
        <f t="shared" si="1"/>
        <v>Mozambique</v>
      </c>
      <c r="D9"/>
      <c r="E9"/>
      <c r="F9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</row>
    <row r="10" spans="1:57" ht="55.2" x14ac:dyDescent="0.3">
      <c r="A10" s="4" t="s">
        <v>214</v>
      </c>
      <c r="B10" s="3">
        <f t="shared" si="0"/>
        <v>15</v>
      </c>
      <c r="C10" s="6" t="str">
        <f t="shared" si="1"/>
        <v>Cape Verde</v>
      </c>
      <c r="D10"/>
      <c r="E10"/>
      <c r="F10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</row>
    <row r="11" spans="1:57" ht="55.2" x14ac:dyDescent="0.3">
      <c r="A11" s="4" t="s">
        <v>215</v>
      </c>
      <c r="B11" s="3">
        <f t="shared" si="0"/>
        <v>15</v>
      </c>
      <c r="C11" s="6" t="str">
        <f t="shared" si="1"/>
        <v>Comoros</v>
      </c>
      <c r="D1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</row>
    <row r="12" spans="1:57" ht="82.8" x14ac:dyDescent="0.3">
      <c r="A12" s="4" t="s">
        <v>216</v>
      </c>
      <c r="B12" s="3">
        <f t="shared" si="0"/>
        <v>16</v>
      </c>
      <c r="C12" s="6" t="str">
        <f t="shared" si="1"/>
        <v>Sao Tome and Principe</v>
      </c>
      <c r="D12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</row>
    <row r="13" spans="1:57" ht="82.8" x14ac:dyDescent="0.3">
      <c r="A13" s="4" t="s">
        <v>217</v>
      </c>
      <c r="B13" s="3">
        <f t="shared" si="0"/>
        <v>21</v>
      </c>
      <c r="C13" s="6" t="str">
        <f t="shared" si="1"/>
        <v>Papua New Guinea</v>
      </c>
      <c r="D13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</row>
    <row r="14" spans="1:57" ht="55.2" x14ac:dyDescent="0.3">
      <c r="A14" s="4" t="s">
        <v>218</v>
      </c>
      <c r="B14" s="3">
        <f t="shared" si="0"/>
        <v>20</v>
      </c>
      <c r="C14" s="6" t="str">
        <f t="shared" si="1"/>
        <v>Angola</v>
      </c>
      <c r="D14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</row>
    <row r="15" spans="1:57" ht="69" x14ac:dyDescent="0.3">
      <c r="A15" s="4" t="s">
        <v>219</v>
      </c>
      <c r="B15" s="3">
        <f t="shared" si="0"/>
        <v>20</v>
      </c>
      <c r="C15" s="6" t="str">
        <f t="shared" si="1"/>
        <v>Suriname</v>
      </c>
      <c r="D15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</row>
    <row r="16" spans="1:57" ht="55.2" x14ac:dyDescent="0.3">
      <c r="A16" s="4" t="s">
        <v>220</v>
      </c>
      <c r="B16" s="3">
        <f t="shared" si="0"/>
        <v>16</v>
      </c>
      <c r="C16" s="6" t="str">
        <f t="shared" si="1"/>
        <v>Seychelles</v>
      </c>
      <c r="D16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</row>
    <row r="17" spans="1:55" ht="41.4" x14ac:dyDescent="0.3">
      <c r="A17" s="4" t="s">
        <v>221</v>
      </c>
      <c r="B17" s="3">
        <f t="shared" si="0"/>
        <v>16</v>
      </c>
      <c r="C17" s="6" t="str">
        <f t="shared" si="1"/>
        <v>Djibouti</v>
      </c>
      <c r="D17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</row>
    <row r="18" spans="1:55" ht="82.8" x14ac:dyDescent="0.3">
      <c r="A18" s="4" t="s">
        <v>222</v>
      </c>
      <c r="B18" s="3">
        <f t="shared" si="0"/>
        <v>15</v>
      </c>
      <c r="C18" s="6" t="str">
        <f t="shared" si="1"/>
        <v>The Solomon Islands</v>
      </c>
      <c r="D18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</row>
    <row r="19" spans="1:55" ht="41.4" x14ac:dyDescent="0.3">
      <c r="A19" s="4" t="s">
        <v>223</v>
      </c>
      <c r="B19" s="3">
        <f t="shared" si="0"/>
        <v>18</v>
      </c>
      <c r="C19" s="6" t="str">
        <f t="shared" si="1"/>
        <v>Tuvalu</v>
      </c>
      <c r="D19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</row>
    <row r="20" spans="1:55" ht="69" x14ac:dyDescent="0.3">
      <c r="A20" s="4" t="s">
        <v>224</v>
      </c>
      <c r="B20" s="3">
        <f t="shared" si="0"/>
        <v>19</v>
      </c>
      <c r="C20" s="6" t="str">
        <f t="shared" si="1"/>
        <v>Dominica</v>
      </c>
      <c r="D20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</row>
    <row r="21" spans="1:55" ht="69" x14ac:dyDescent="0.3">
      <c r="A21" s="4" t="s">
        <v>225</v>
      </c>
      <c r="B21" s="3">
        <f t="shared" si="0"/>
        <v>20</v>
      </c>
      <c r="C21" s="6" t="str">
        <f t="shared" si="1"/>
        <v>Saint Lucia</v>
      </c>
      <c r="D2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</row>
    <row r="22" spans="1:55" ht="41.4" x14ac:dyDescent="0.3">
      <c r="A22" s="4" t="s">
        <v>226</v>
      </c>
      <c r="B22" s="3">
        <f t="shared" si="0"/>
        <v>16</v>
      </c>
      <c r="C22" s="6" t="str">
        <f t="shared" si="1"/>
        <v>Kiribati</v>
      </c>
      <c r="D22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</row>
    <row r="23" spans="1:55" ht="96.6" x14ac:dyDescent="0.3">
      <c r="A23" s="4" t="s">
        <v>227</v>
      </c>
      <c r="B23" s="3">
        <f t="shared" si="0"/>
        <v>19</v>
      </c>
      <c r="C23" s="6" t="str">
        <f t="shared" si="1"/>
        <v>Saint Vincent and the Grenadines</v>
      </c>
      <c r="D23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</row>
    <row r="24" spans="1:55" ht="55.2" x14ac:dyDescent="0.3">
      <c r="A24" s="4" t="s">
        <v>228</v>
      </c>
      <c r="B24" s="3">
        <f t="shared" si="0"/>
        <v>17</v>
      </c>
      <c r="C24" s="6" t="str">
        <f t="shared" si="1"/>
        <v>Zimbabwe</v>
      </c>
      <c r="D24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</row>
    <row r="25" spans="1:55" ht="41.4" x14ac:dyDescent="0.3">
      <c r="A25" s="4" t="s">
        <v>229</v>
      </c>
      <c r="B25" s="3">
        <f t="shared" si="0"/>
        <v>16</v>
      </c>
      <c r="C25" s="6" t="str">
        <f t="shared" si="1"/>
        <v>Vanuatu</v>
      </c>
      <c r="D25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</row>
    <row r="26" spans="1:55" ht="69" x14ac:dyDescent="0.3">
      <c r="A26" s="4" t="s">
        <v>230</v>
      </c>
      <c r="B26" s="3">
        <f t="shared" si="0"/>
        <v>19</v>
      </c>
      <c r="C26" s="6" t="str">
        <f t="shared" si="1"/>
        <v>Antigua and Barbuda</v>
      </c>
      <c r="D26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</row>
    <row r="27" spans="1:55" ht="55.2" x14ac:dyDescent="0.3">
      <c r="A27" s="4" t="s">
        <v>231</v>
      </c>
      <c r="B27" s="3">
        <f t="shared" si="0"/>
        <v>21</v>
      </c>
      <c r="C27" s="6" t="str">
        <f t="shared" si="1"/>
        <v>Belize</v>
      </c>
      <c r="D27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</row>
    <row r="28" spans="1:55" ht="96.6" x14ac:dyDescent="0.3">
      <c r="A28" s="4" t="s">
        <v>232</v>
      </c>
      <c r="B28" s="3">
        <f t="shared" si="0"/>
        <v>21</v>
      </c>
      <c r="C28" s="6" t="str">
        <f t="shared" si="1"/>
        <v>Saint Kitts and Nevis</v>
      </c>
      <c r="D28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</row>
    <row r="29" spans="1:55" ht="41.4" x14ac:dyDescent="0.3">
      <c r="A29" s="4" t="s">
        <v>233</v>
      </c>
      <c r="B29" s="3">
        <f t="shared" si="0"/>
        <v>18</v>
      </c>
      <c r="C29" s="6" t="str">
        <f t="shared" si="1"/>
        <v>Brunei</v>
      </c>
      <c r="D29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</row>
    <row r="30" spans="1:55" ht="82.8" x14ac:dyDescent="0.3">
      <c r="A30" s="4" t="s">
        <v>234</v>
      </c>
      <c r="B30" s="3">
        <f t="shared" si="0"/>
        <v>19</v>
      </c>
      <c r="C30" s="6" t="str">
        <f t="shared" si="1"/>
        <v>The Marshall Islands</v>
      </c>
      <c r="D30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</row>
    <row r="31" spans="1:55" ht="124.2" x14ac:dyDescent="0.3">
      <c r="A31" s="4" t="s">
        <v>235</v>
      </c>
      <c r="B31" s="3">
        <f t="shared" si="0"/>
        <v>19</v>
      </c>
      <c r="C31" s="6" t="str">
        <f t="shared" si="1"/>
        <v>The Federated States of Micronesia</v>
      </c>
      <c r="D3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</row>
    <row r="32" spans="1:55" ht="55.2" x14ac:dyDescent="0.3">
      <c r="A32" s="4" t="s">
        <v>236</v>
      </c>
      <c r="B32" s="3">
        <f t="shared" si="0"/>
        <v>17</v>
      </c>
      <c r="C32" s="6" t="str">
        <f t="shared" si="1"/>
        <v>Lithuania</v>
      </c>
      <c r="D32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</row>
    <row r="33" spans="1:55" ht="55.2" x14ac:dyDescent="0.3">
      <c r="A33" s="4" t="s">
        <v>237</v>
      </c>
      <c r="B33" s="3">
        <f t="shared" si="0"/>
        <v>17</v>
      </c>
      <c r="C33" s="6" t="str">
        <f t="shared" si="1"/>
        <v>Namibia</v>
      </c>
      <c r="D33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</row>
    <row r="34" spans="1:55" ht="41.4" x14ac:dyDescent="0.3">
      <c r="A34" s="4" t="s">
        <v>238</v>
      </c>
      <c r="B34" s="3">
        <f t="shared" si="0"/>
        <v>15</v>
      </c>
      <c r="C34" s="6" t="str">
        <f t="shared" si="1"/>
        <v>Yemen</v>
      </c>
      <c r="D34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</row>
    <row r="35" spans="1:55" ht="41.4" x14ac:dyDescent="0.3">
      <c r="A35" s="4" t="s">
        <v>239</v>
      </c>
      <c r="B35" s="3">
        <f t="shared" si="0"/>
        <v>16</v>
      </c>
      <c r="C35" s="6" t="str">
        <f t="shared" si="1"/>
        <v>Georgia</v>
      </c>
      <c r="D35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</row>
    <row r="36" spans="1:55" ht="41.4" x14ac:dyDescent="0.3">
      <c r="A36" s="4" t="s">
        <v>240</v>
      </c>
      <c r="B36" s="3">
        <f t="shared" si="0"/>
        <v>16</v>
      </c>
      <c r="C36" s="6" t="str">
        <f t="shared" si="1"/>
        <v>Croatia</v>
      </c>
      <c r="D36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</row>
    <row r="37" spans="1:55" ht="41.4" x14ac:dyDescent="0.3">
      <c r="A37" s="4" t="s">
        <v>241</v>
      </c>
      <c r="B37" s="3">
        <f t="shared" si="0"/>
        <v>16</v>
      </c>
      <c r="C37" s="6" t="str">
        <f t="shared" si="1"/>
        <v>Slovenia</v>
      </c>
      <c r="D37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</row>
    <row r="38" spans="1:55" ht="55.2" x14ac:dyDescent="0.3">
      <c r="A38" s="4" t="s">
        <v>242</v>
      </c>
      <c r="B38" s="3">
        <f t="shared" si="0"/>
        <v>18</v>
      </c>
      <c r="C38" s="6" t="str">
        <f t="shared" si="1"/>
        <v>Kyrgyzstan</v>
      </c>
      <c r="D38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</row>
    <row r="39" spans="1:55" ht="41.4" x14ac:dyDescent="0.3">
      <c r="A39" s="4" t="s">
        <v>243</v>
      </c>
      <c r="B39" s="3">
        <f t="shared" si="0"/>
        <v>18</v>
      </c>
      <c r="C39" s="6" t="str">
        <f t="shared" si="1"/>
        <v>Russia</v>
      </c>
      <c r="D39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</row>
    <row r="40" spans="1:55" ht="41.4" x14ac:dyDescent="0.3">
      <c r="A40" s="4" t="s">
        <v>244</v>
      </c>
      <c r="B40" s="3">
        <f t="shared" si="0"/>
        <v>18</v>
      </c>
      <c r="C40" s="6" t="str">
        <f t="shared" si="1"/>
        <v>Belarus</v>
      </c>
      <c r="D40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</row>
    <row r="41" spans="1:55" ht="41.4" x14ac:dyDescent="0.3">
      <c r="A41" s="4" t="s">
        <v>245</v>
      </c>
      <c r="B41" s="3">
        <f t="shared" si="0"/>
        <v>18</v>
      </c>
      <c r="C41" s="6" t="str">
        <f t="shared" si="1"/>
        <v>Moldova</v>
      </c>
      <c r="D4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</row>
    <row r="42" spans="1:55" ht="69" x14ac:dyDescent="0.3">
      <c r="A42" s="4" t="s">
        <v>246</v>
      </c>
      <c r="B42" s="3">
        <f t="shared" si="0"/>
        <v>18</v>
      </c>
      <c r="C42" s="6" t="str">
        <f t="shared" si="1"/>
        <v>Azerbaijan</v>
      </c>
      <c r="D4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</row>
    <row r="43" spans="1:55" ht="69" x14ac:dyDescent="0.3">
      <c r="A43" s="4" t="s">
        <v>247</v>
      </c>
      <c r="B43" s="3">
        <f t="shared" si="0"/>
        <v>20</v>
      </c>
      <c r="C43" s="6" t="str">
        <f t="shared" si="1"/>
        <v>Uzbekistan</v>
      </c>
      <c r="D43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</row>
    <row r="44" spans="1:55" ht="55.2" x14ac:dyDescent="0.3">
      <c r="A44" s="4" t="s">
        <v>248</v>
      </c>
      <c r="B44" s="3">
        <f t="shared" si="0"/>
        <v>20</v>
      </c>
      <c r="C44" s="6" t="str">
        <f t="shared" si="1"/>
        <v>Latvia</v>
      </c>
      <c r="D44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</row>
    <row r="45" spans="1:55" ht="69" x14ac:dyDescent="0.3">
      <c r="A45" s="4" t="s">
        <v>249</v>
      </c>
      <c r="B45" s="3">
        <f t="shared" si="0"/>
        <v>20</v>
      </c>
      <c r="C45" s="6" t="str">
        <f t="shared" si="1"/>
        <v>Macedonia</v>
      </c>
      <c r="D45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</row>
    <row r="46" spans="1:55" ht="69" x14ac:dyDescent="0.3">
      <c r="A46" s="4" t="s">
        <v>250</v>
      </c>
      <c r="B46" s="3">
        <f t="shared" si="0"/>
        <v>20</v>
      </c>
      <c r="C46" s="6" t="str">
        <f t="shared" si="1"/>
        <v>Tajikistan</v>
      </c>
      <c r="D46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</row>
    <row r="47" spans="1:55" ht="55.2" x14ac:dyDescent="0.3">
      <c r="A47" s="4" t="s">
        <v>251</v>
      </c>
      <c r="B47" s="3">
        <f t="shared" si="0"/>
        <v>21</v>
      </c>
      <c r="C47" s="6" t="str">
        <f t="shared" si="1"/>
        <v>Armenia</v>
      </c>
      <c r="D47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</row>
    <row r="48" spans="1:55" ht="55.2" x14ac:dyDescent="0.3">
      <c r="A48" s="4" t="s">
        <v>252</v>
      </c>
      <c r="B48" s="3">
        <f t="shared" si="0"/>
        <v>19</v>
      </c>
      <c r="C48" s="6" t="str">
        <f t="shared" si="1"/>
        <v>Turkmenistan</v>
      </c>
      <c r="D48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</row>
    <row r="49" spans="1:55" ht="55.2" x14ac:dyDescent="0.3">
      <c r="A49" s="4" t="s">
        <v>253</v>
      </c>
      <c r="B49" s="3">
        <f t="shared" si="0"/>
        <v>20</v>
      </c>
      <c r="C49" s="6" t="str">
        <f t="shared" si="1"/>
        <v>Ukraine</v>
      </c>
      <c r="D49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</row>
    <row r="50" spans="1:55" ht="69" x14ac:dyDescent="0.3">
      <c r="A50" s="4" t="s">
        <v>254</v>
      </c>
      <c r="B50" s="3">
        <f t="shared" si="0"/>
        <v>20</v>
      </c>
      <c r="C50" s="6" t="str">
        <f t="shared" si="1"/>
        <v>Kazakhstan</v>
      </c>
      <c r="D50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</row>
    <row r="51" spans="1:55" ht="82.8" x14ac:dyDescent="0.3">
      <c r="A51" s="4" t="s">
        <v>255</v>
      </c>
      <c r="B51" s="3">
        <f t="shared" si="0"/>
        <v>16</v>
      </c>
      <c r="C51" s="6" t="str">
        <f t="shared" si="1"/>
        <v>Bosnia and Herzegovina</v>
      </c>
      <c r="D5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</row>
    <row r="52" spans="1:55" ht="69" x14ac:dyDescent="0.3">
      <c r="A52" s="4" t="s">
        <v>256</v>
      </c>
      <c r="B52" s="3">
        <f t="shared" si="0"/>
        <v>18</v>
      </c>
      <c r="C52" s="6" t="str">
        <f t="shared" si="1"/>
        <v>The Czech Republic</v>
      </c>
      <c r="D5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</row>
    <row r="53" spans="1:55" ht="41.4" x14ac:dyDescent="0.3">
      <c r="A53" s="4" t="s">
        <v>257</v>
      </c>
      <c r="B53" s="3">
        <f t="shared" si="0"/>
        <v>18</v>
      </c>
      <c r="C53" s="6" t="str">
        <f t="shared" si="1"/>
        <v>Slovakia</v>
      </c>
      <c r="D53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</row>
    <row r="54" spans="1:55" ht="41.4" x14ac:dyDescent="0.3">
      <c r="A54" s="4" t="s">
        <v>258</v>
      </c>
      <c r="B54" s="3">
        <f t="shared" si="0"/>
        <v>15</v>
      </c>
      <c r="C54" s="6" t="str">
        <f t="shared" si="1"/>
        <v>Eritrea</v>
      </c>
    </row>
    <row r="55" spans="1:55" ht="41.4" x14ac:dyDescent="0.3">
      <c r="A55" s="4" t="s">
        <v>259</v>
      </c>
      <c r="B55" s="3">
        <f t="shared" si="0"/>
        <v>18</v>
      </c>
      <c r="C55" s="6" t="str">
        <f t="shared" si="1"/>
        <v>Palau</v>
      </c>
    </row>
    <row r="56" spans="1:55" ht="55.2" x14ac:dyDescent="0.3">
      <c r="A56" s="4" t="s">
        <v>260</v>
      </c>
      <c r="B56" s="3">
        <f t="shared" si="0"/>
        <v>15</v>
      </c>
      <c r="C56" s="6" t="str">
        <f t="shared" si="1"/>
        <v>East Timor</v>
      </c>
    </row>
    <row r="57" spans="1:55" ht="57.6" x14ac:dyDescent="0.3">
      <c r="A57" s="5" t="s">
        <v>261</v>
      </c>
      <c r="B57" s="3">
        <f t="shared" si="0"/>
        <v>15</v>
      </c>
      <c r="C57" s="6" t="str">
        <f t="shared" si="1"/>
        <v>Montenegro</v>
      </c>
    </row>
    <row r="58" spans="1:55" ht="41.4" x14ac:dyDescent="0.3">
      <c r="A58" s="4" t="s">
        <v>262</v>
      </c>
      <c r="B58" s="3">
        <f t="shared" si="0"/>
        <v>15</v>
      </c>
      <c r="C58" s="6" t="str">
        <f t="shared" si="1"/>
        <v>Serbia</v>
      </c>
    </row>
    <row r="59" spans="1:55" ht="55.2" x14ac:dyDescent="0.3">
      <c r="A59" s="4" t="s">
        <v>263</v>
      </c>
      <c r="B59" s="3">
        <f t="shared" si="0"/>
        <v>20</v>
      </c>
      <c r="C59" s="6" t="str">
        <f t="shared" si="1"/>
        <v>Kosovo</v>
      </c>
    </row>
    <row r="60" spans="1:55" ht="55.2" x14ac:dyDescent="0.3">
      <c r="A60" s="4" t="s">
        <v>264</v>
      </c>
      <c r="B60" s="3">
        <f t="shared" si="0"/>
        <v>15</v>
      </c>
      <c r="C60" s="6" t="str">
        <f t="shared" si="1"/>
        <v>South Sudan</v>
      </c>
    </row>
  </sheetData>
  <hyperlinks>
    <hyperlink ref="A57" r:id="rId1" display="https://www.thoughtco.com/yugoslavia-becomes-serbia-and-montenegro-4088788" xr:uid="{27125CD9-27E0-454B-A07E-40654CCBAC1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7CD8D-045D-4376-B387-31B6CCB994F7}">
  <dimension ref="A1:AZ14"/>
  <sheetViews>
    <sheetView workbookViewId="0">
      <selection activeCell="B2" sqref="B2"/>
    </sheetView>
  </sheetViews>
  <sheetFormatPr defaultRowHeight="14.4" x14ac:dyDescent="0.3"/>
  <sheetData>
    <row r="1" spans="1:52" x14ac:dyDescent="0.3">
      <c r="A1" t="s">
        <v>0</v>
      </c>
      <c r="B1">
        <v>1975</v>
      </c>
      <c r="C1">
        <v>1976</v>
      </c>
      <c r="D1">
        <v>1977</v>
      </c>
      <c r="E1">
        <v>1978</v>
      </c>
      <c r="F1">
        <v>1979</v>
      </c>
      <c r="G1">
        <v>1980</v>
      </c>
      <c r="H1">
        <v>1981</v>
      </c>
      <c r="I1">
        <v>1982</v>
      </c>
      <c r="J1">
        <v>1983</v>
      </c>
      <c r="K1">
        <v>1984</v>
      </c>
      <c r="L1">
        <v>1985</v>
      </c>
      <c r="M1">
        <v>1986</v>
      </c>
      <c r="N1">
        <v>1987</v>
      </c>
      <c r="O1">
        <v>1988</v>
      </c>
      <c r="P1">
        <v>1989</v>
      </c>
      <c r="Q1">
        <v>1990</v>
      </c>
      <c r="R1">
        <v>1991</v>
      </c>
      <c r="S1">
        <v>1992</v>
      </c>
      <c r="T1">
        <v>1993</v>
      </c>
      <c r="U1">
        <v>1994</v>
      </c>
      <c r="V1">
        <v>1995</v>
      </c>
      <c r="W1">
        <v>1996</v>
      </c>
      <c r="X1">
        <v>1997</v>
      </c>
      <c r="Y1">
        <v>1998</v>
      </c>
      <c r="Z1">
        <v>1999</v>
      </c>
      <c r="AA1">
        <v>2000</v>
      </c>
      <c r="AB1">
        <v>2001</v>
      </c>
      <c r="AC1">
        <v>2002</v>
      </c>
      <c r="AD1">
        <v>2003</v>
      </c>
      <c r="AE1">
        <v>2004</v>
      </c>
      <c r="AF1">
        <v>2005</v>
      </c>
      <c r="AG1">
        <v>2006</v>
      </c>
      <c r="AH1">
        <v>2007</v>
      </c>
      <c r="AI1">
        <v>2008</v>
      </c>
      <c r="AJ1">
        <v>2009</v>
      </c>
      <c r="AK1">
        <v>2010</v>
      </c>
      <c r="AL1">
        <v>2011</v>
      </c>
      <c r="AM1">
        <v>2012</v>
      </c>
      <c r="AN1">
        <v>2013</v>
      </c>
      <c r="AO1">
        <v>2014</v>
      </c>
      <c r="AP1">
        <v>2015</v>
      </c>
      <c r="AQ1">
        <v>2016</v>
      </c>
      <c r="AR1">
        <v>2017</v>
      </c>
      <c r="AS1">
        <v>2018</v>
      </c>
      <c r="AT1">
        <v>2019</v>
      </c>
      <c r="AU1">
        <v>2020</v>
      </c>
      <c r="AV1">
        <v>2021</v>
      </c>
      <c r="AW1">
        <v>2022</v>
      </c>
      <c r="AX1">
        <v>2023</v>
      </c>
      <c r="AY1">
        <v>2024</v>
      </c>
      <c r="AZ1">
        <v>2025</v>
      </c>
    </row>
    <row r="2" spans="1:52" x14ac:dyDescent="0.3">
      <c r="A2" t="s">
        <v>1</v>
      </c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>
        <v>4367</v>
      </c>
      <c r="AD2" s="1">
        <v>4553</v>
      </c>
      <c r="AE2" s="1">
        <v>5146</v>
      </c>
      <c r="AF2" s="1">
        <v>6167</v>
      </c>
      <c r="AG2" s="1">
        <v>6925</v>
      </c>
      <c r="AH2" s="1">
        <v>8556</v>
      </c>
      <c r="AI2" s="1">
        <v>10297</v>
      </c>
      <c r="AJ2" s="1">
        <v>12066</v>
      </c>
      <c r="AK2" s="1">
        <v>15325</v>
      </c>
      <c r="AL2" s="1">
        <v>17890</v>
      </c>
      <c r="AM2" s="1">
        <v>20293</v>
      </c>
      <c r="AN2" s="1">
        <v>20170</v>
      </c>
      <c r="AO2" s="1">
        <v>20616</v>
      </c>
      <c r="AP2" s="1">
        <v>20057</v>
      </c>
      <c r="AQ2" s="1">
        <v>18020</v>
      </c>
      <c r="AR2" s="1">
        <v>18883</v>
      </c>
      <c r="AS2" s="1">
        <v>18336</v>
      </c>
      <c r="AT2" s="1">
        <v>18876</v>
      </c>
      <c r="AU2" s="1">
        <v>20136</v>
      </c>
      <c r="AV2" s="1">
        <v>14278</v>
      </c>
      <c r="AW2" s="1">
        <v>14501</v>
      </c>
      <c r="AX2" s="1">
        <v>17248</v>
      </c>
    </row>
    <row r="3" spans="1:52" x14ac:dyDescent="0.3">
      <c r="A3" t="s">
        <v>69</v>
      </c>
      <c r="B3" s="1"/>
      <c r="C3" s="1"/>
      <c r="D3" s="1"/>
      <c r="E3" s="1">
        <v>64</v>
      </c>
      <c r="F3" s="1">
        <v>75</v>
      </c>
      <c r="G3" s="1">
        <v>111</v>
      </c>
      <c r="H3" s="1">
        <v>116</v>
      </c>
      <c r="I3" s="1">
        <v>125</v>
      </c>
      <c r="J3" s="1">
        <v>132</v>
      </c>
      <c r="K3" s="1">
        <v>146</v>
      </c>
      <c r="L3" s="1">
        <v>168</v>
      </c>
      <c r="M3" s="1">
        <v>188</v>
      </c>
      <c r="N3" s="1">
        <v>215</v>
      </c>
      <c r="O3" s="1">
        <v>236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3">
      <c r="A4" t="s">
        <v>74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>
        <v>1340</v>
      </c>
      <c r="Q4" s="1">
        <v>1706</v>
      </c>
      <c r="R4" s="1">
        <v>1530</v>
      </c>
      <c r="S4" s="1">
        <v>918</v>
      </c>
      <c r="T4" s="1">
        <v>1107</v>
      </c>
      <c r="U4" s="1">
        <v>3054</v>
      </c>
      <c r="V4" s="1">
        <v>4846</v>
      </c>
      <c r="W4" s="1">
        <v>5000</v>
      </c>
      <c r="X4" s="1">
        <v>5748</v>
      </c>
      <c r="Y4" s="1">
        <v>6408</v>
      </c>
      <c r="Z4" s="1">
        <v>7148</v>
      </c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3">
      <c r="A5" t="s">
        <v>82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>
        <v>25984</v>
      </c>
      <c r="AB5" s="1">
        <v>21113</v>
      </c>
      <c r="AC5" s="1">
        <v>21063</v>
      </c>
      <c r="AD5" s="1">
        <v>15800</v>
      </c>
      <c r="AE5" s="1">
        <v>36642</v>
      </c>
      <c r="AF5" s="1">
        <v>50065</v>
      </c>
      <c r="AG5" s="1">
        <v>65144</v>
      </c>
      <c r="AH5" s="1">
        <v>88833</v>
      </c>
      <c r="AI5" s="1">
        <v>131614</v>
      </c>
      <c r="AJ5" s="1">
        <v>111660</v>
      </c>
      <c r="AK5" s="1">
        <v>138517</v>
      </c>
      <c r="AL5" s="1">
        <v>185750</v>
      </c>
      <c r="AM5" s="1">
        <v>218032</v>
      </c>
      <c r="AN5" s="1">
        <v>234638</v>
      </c>
      <c r="AO5" s="1">
        <v>234651</v>
      </c>
      <c r="AP5" s="1">
        <v>177634</v>
      </c>
      <c r="AQ5" s="1">
        <v>168429</v>
      </c>
      <c r="AR5" s="1">
        <v>190048</v>
      </c>
      <c r="AS5" s="1">
        <v>230189</v>
      </c>
      <c r="AT5" s="1">
        <v>236682</v>
      </c>
      <c r="AU5" s="1">
        <v>182576</v>
      </c>
      <c r="AV5" s="1">
        <v>210753</v>
      </c>
      <c r="AW5" s="1">
        <v>288059</v>
      </c>
      <c r="AX5" s="1">
        <v>270799</v>
      </c>
      <c r="AY5" s="1">
        <v>277478</v>
      </c>
      <c r="AZ5" s="1">
        <v>258020</v>
      </c>
    </row>
    <row r="6" spans="1:52" x14ac:dyDescent="0.3">
      <c r="A6" t="s">
        <v>101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>
        <v>60094</v>
      </c>
      <c r="AH6" s="1">
        <v>68211</v>
      </c>
      <c r="AI6" s="1">
        <v>86804</v>
      </c>
      <c r="AJ6" s="1">
        <v>60767</v>
      </c>
      <c r="AK6" s="1">
        <v>75381</v>
      </c>
      <c r="AL6" s="1">
        <v>48170</v>
      </c>
      <c r="AM6" s="1">
        <v>92542</v>
      </c>
      <c r="AN6" s="1">
        <v>75355</v>
      </c>
      <c r="AO6" s="1">
        <v>57384</v>
      </c>
      <c r="AP6" s="1">
        <v>48718</v>
      </c>
      <c r="AQ6" s="1">
        <v>49913</v>
      </c>
      <c r="AR6" s="1">
        <v>67153</v>
      </c>
      <c r="AS6" s="1">
        <v>76682</v>
      </c>
      <c r="AT6" s="1">
        <v>69237</v>
      </c>
      <c r="AU6" s="1">
        <v>46893</v>
      </c>
      <c r="AV6" s="1">
        <v>35216</v>
      </c>
      <c r="AW6" s="1">
        <v>43281</v>
      </c>
      <c r="AX6" s="1">
        <v>43958</v>
      </c>
      <c r="AY6" s="1">
        <v>42159</v>
      </c>
      <c r="AZ6" s="1"/>
    </row>
    <row r="7" spans="1:52" x14ac:dyDescent="0.3">
      <c r="A7" t="s">
        <v>129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>
        <v>7279</v>
      </c>
      <c r="AJ7" s="1">
        <v>7324</v>
      </c>
      <c r="AK7" s="1">
        <v>7838</v>
      </c>
      <c r="AL7" s="1">
        <v>8754</v>
      </c>
      <c r="AM7" s="1">
        <v>9412</v>
      </c>
      <c r="AN7" s="1">
        <v>10206</v>
      </c>
      <c r="AO7" s="1">
        <v>10830</v>
      </c>
      <c r="AP7" s="1">
        <v>9684</v>
      </c>
      <c r="AQ7" s="1">
        <v>10350</v>
      </c>
      <c r="AR7" s="1">
        <v>11181</v>
      </c>
      <c r="AS7" s="1">
        <v>12814</v>
      </c>
      <c r="AT7" s="1">
        <v>12917</v>
      </c>
      <c r="AU7" s="1">
        <v>13764</v>
      </c>
      <c r="AV7" s="1">
        <v>14923</v>
      </c>
      <c r="AW7" s="1">
        <v>15458</v>
      </c>
      <c r="AX7" s="1">
        <v>16809</v>
      </c>
      <c r="AY7" s="1">
        <v>19866</v>
      </c>
      <c r="AZ7" s="1">
        <v>21874</v>
      </c>
    </row>
    <row r="8" spans="1:52" x14ac:dyDescent="0.3">
      <c r="A8" t="s">
        <v>136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>
        <v>96008</v>
      </c>
      <c r="AA8" s="1">
        <v>99421</v>
      </c>
      <c r="AB8" s="1">
        <v>96784</v>
      </c>
      <c r="AC8" s="1">
        <v>98169</v>
      </c>
      <c r="AD8" s="1">
        <v>112507</v>
      </c>
      <c r="AE8" s="1">
        <v>132206</v>
      </c>
      <c r="AF8" s="1">
        <v>145209</v>
      </c>
      <c r="AG8" s="1">
        <v>161871</v>
      </c>
      <c r="AH8" s="1">
        <v>184141</v>
      </c>
      <c r="AI8" s="1">
        <v>202204</v>
      </c>
      <c r="AJ8" s="1">
        <v>187074</v>
      </c>
      <c r="AK8" s="1">
        <v>196712</v>
      </c>
      <c r="AL8" s="1">
        <v>230577</v>
      </c>
      <c r="AM8" s="1">
        <v>250094</v>
      </c>
      <c r="AN8" s="1">
        <v>258674</v>
      </c>
      <c r="AO8" s="1">
        <v>271422</v>
      </c>
      <c r="AP8" s="1">
        <v>299930</v>
      </c>
      <c r="AQ8" s="1">
        <v>313623</v>
      </c>
      <c r="AR8" s="1">
        <v>339229</v>
      </c>
      <c r="AS8" s="1">
        <v>356163</v>
      </c>
      <c r="AT8" s="1">
        <v>321071</v>
      </c>
      <c r="AU8" s="1">
        <v>300410</v>
      </c>
      <c r="AV8" s="1">
        <v>348481</v>
      </c>
      <c r="AW8" s="1">
        <v>374850</v>
      </c>
      <c r="AX8" s="1">
        <v>337754</v>
      </c>
      <c r="AY8" s="1"/>
    </row>
    <row r="9" spans="1:52" x14ac:dyDescent="0.3">
      <c r="A9" t="s">
        <v>139</v>
      </c>
      <c r="B9" s="1"/>
      <c r="C9" s="1"/>
      <c r="D9" s="1"/>
      <c r="E9" s="1"/>
      <c r="F9" s="1"/>
      <c r="G9" s="1"/>
      <c r="H9" s="1"/>
      <c r="I9" s="1"/>
      <c r="J9" s="1"/>
      <c r="K9" s="1">
        <v>5700</v>
      </c>
      <c r="L9" s="1">
        <v>6030</v>
      </c>
      <c r="M9" s="1">
        <v>6266</v>
      </c>
      <c r="N9" s="1">
        <v>6294</v>
      </c>
      <c r="O9" s="1">
        <v>5441</v>
      </c>
      <c r="P9" s="1">
        <v>5456</v>
      </c>
      <c r="Q9" s="1">
        <v>5931</v>
      </c>
      <c r="R9" s="1">
        <v>6522</v>
      </c>
      <c r="S9" s="1">
        <v>7414</v>
      </c>
      <c r="T9" s="1">
        <v>8096</v>
      </c>
      <c r="U9" s="1">
        <v>8633</v>
      </c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3">
      <c r="A10" t="s">
        <v>143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>
        <v>94106</v>
      </c>
      <c r="Y10" s="1">
        <v>74492</v>
      </c>
      <c r="Z10" s="1">
        <v>85640</v>
      </c>
      <c r="AA10" s="1">
        <v>83667</v>
      </c>
      <c r="AB10" s="1">
        <v>78921</v>
      </c>
      <c r="AC10" s="1">
        <v>84307</v>
      </c>
      <c r="AD10" s="1">
        <v>87039</v>
      </c>
      <c r="AE10" s="1">
        <v>95002</v>
      </c>
      <c r="AF10" s="1">
        <v>107420</v>
      </c>
      <c r="AG10" s="1">
        <v>127653</v>
      </c>
      <c r="AH10" s="1">
        <v>155980</v>
      </c>
      <c r="AI10" s="1">
        <v>181007</v>
      </c>
      <c r="AJ10" s="1">
        <v>176132</v>
      </c>
      <c r="AK10" s="1">
        <v>208369</v>
      </c>
      <c r="AL10" s="1">
        <v>234217</v>
      </c>
      <c r="AM10" s="1">
        <v>261920</v>
      </c>
      <c r="AN10" s="1">
        <v>283903</v>
      </c>
      <c r="AO10" s="1">
        <v>297484</v>
      </c>
      <c r="AP10" s="1">
        <v>306446</v>
      </c>
      <c r="AQ10" s="1">
        <v>318627</v>
      </c>
      <c r="AR10" s="1">
        <v>328481</v>
      </c>
      <c r="AS10" s="1">
        <v>346842</v>
      </c>
      <c r="AT10" s="1">
        <v>376823</v>
      </c>
      <c r="AU10" s="1">
        <v>361751</v>
      </c>
      <c r="AV10" s="1">
        <v>394087</v>
      </c>
      <c r="AW10" s="1">
        <v>404353</v>
      </c>
      <c r="AX10" s="1"/>
      <c r="AY10" s="1"/>
      <c r="AZ10" s="1"/>
    </row>
    <row r="11" spans="1:52" x14ac:dyDescent="0.3">
      <c r="A11" t="s">
        <v>166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>
        <v>5022</v>
      </c>
      <c r="AM11" s="1">
        <v>5183</v>
      </c>
      <c r="AN11" s="1">
        <v>5869</v>
      </c>
      <c r="AO11" s="1">
        <v>6443</v>
      </c>
      <c r="AP11" s="1">
        <v>6841</v>
      </c>
      <c r="AQ11" s="1">
        <v>7391</v>
      </c>
      <c r="AR11" s="1">
        <v>8252</v>
      </c>
      <c r="AS11" s="1">
        <v>7873</v>
      </c>
      <c r="AT11" s="1">
        <v>8655</v>
      </c>
      <c r="AU11" s="1">
        <v>8628</v>
      </c>
      <c r="AV11" s="1">
        <v>9484</v>
      </c>
      <c r="AW11" s="1">
        <v>10203</v>
      </c>
      <c r="AX11" s="1">
        <v>10969</v>
      </c>
      <c r="AY11" s="1">
        <v>12134</v>
      </c>
      <c r="AZ11" s="1">
        <v>12994</v>
      </c>
    </row>
    <row r="12" spans="1:52" x14ac:dyDescent="0.3">
      <c r="A12" t="s">
        <v>178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>
        <v>53939</v>
      </c>
      <c r="AK12" s="1">
        <v>60043</v>
      </c>
      <c r="AL12" s="1"/>
      <c r="AM12" s="1"/>
      <c r="AN12" s="1"/>
      <c r="AO12" s="1"/>
      <c r="AP12" s="1"/>
      <c r="AQ12" s="1"/>
      <c r="AR12" s="1"/>
      <c r="AS12" s="1"/>
      <c r="AT12" s="1"/>
      <c r="AU12" s="1">
        <v>60043</v>
      </c>
    </row>
    <row r="13" spans="1:52" x14ac:dyDescent="0.3">
      <c r="A13" t="s">
        <v>192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>
        <v>14079</v>
      </c>
      <c r="AH13" s="1">
        <v>17512</v>
      </c>
      <c r="AI13" s="1">
        <v>22419</v>
      </c>
      <c r="AJ13" s="1">
        <v>24107</v>
      </c>
      <c r="AK13" s="1">
        <v>24683</v>
      </c>
      <c r="AL13" s="1">
        <v>27501</v>
      </c>
      <c r="AM13" s="1">
        <v>30939</v>
      </c>
      <c r="AN13" s="1">
        <v>32331</v>
      </c>
      <c r="AO13" s="1">
        <v>34754</v>
      </c>
      <c r="AP13" s="1">
        <v>30122</v>
      </c>
      <c r="AQ13" s="1">
        <v>30232</v>
      </c>
      <c r="AR13" s="1">
        <v>31589</v>
      </c>
      <c r="AS13" s="1">
        <v>34126</v>
      </c>
      <c r="AT13" s="1">
        <v>37895</v>
      </c>
      <c r="AU13" s="1">
        <v>37889</v>
      </c>
      <c r="AV13" s="1">
        <v>42805</v>
      </c>
      <c r="AW13" s="1">
        <v>47276</v>
      </c>
      <c r="AX13" s="1"/>
      <c r="AY13" s="1"/>
      <c r="AZ13" s="1"/>
    </row>
    <row r="14" spans="1:52" x14ac:dyDescent="0.3">
      <c r="A14" t="s">
        <v>202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>
        <v>6838</v>
      </c>
      <c r="Y14" s="1">
        <v>6322</v>
      </c>
      <c r="Z14" s="1">
        <v>7639</v>
      </c>
      <c r="AA14" s="1">
        <v>9679</v>
      </c>
      <c r="AB14" s="1">
        <v>9853</v>
      </c>
      <c r="AC14" s="1">
        <v>10693</v>
      </c>
      <c r="AD14" s="1">
        <v>11778</v>
      </c>
      <c r="AE14" s="1">
        <v>13868</v>
      </c>
      <c r="AF14" s="1">
        <v>16732</v>
      </c>
      <c r="AG14" s="1">
        <v>19063</v>
      </c>
      <c r="AH14" s="1">
        <v>21651</v>
      </c>
      <c r="AI14" s="1">
        <v>26911</v>
      </c>
      <c r="AJ14" s="1">
        <v>25130</v>
      </c>
      <c r="AK14" s="1">
        <v>30907</v>
      </c>
      <c r="AL14" s="1">
        <v>32726</v>
      </c>
      <c r="AM14" s="1">
        <v>35401</v>
      </c>
      <c r="AN14" s="1">
        <v>40415</v>
      </c>
      <c r="AO14" s="1">
        <v>43229</v>
      </c>
      <c r="AP14" s="1">
        <v>42444</v>
      </c>
      <c r="AQ14" s="1">
        <v>31318</v>
      </c>
      <c r="AR14" s="1">
        <v>26842</v>
      </c>
      <c r="AS14" s="1">
        <v>21606</v>
      </c>
      <c r="AT14" s="1">
        <v>21888</v>
      </c>
      <c r="AU14" s="1">
        <v>20220</v>
      </c>
      <c r="AV14" s="1">
        <v>19394</v>
      </c>
      <c r="AW14" s="1">
        <v>23534</v>
      </c>
      <c r="AX14" s="1">
        <v>19412</v>
      </c>
      <c r="AY14" s="1">
        <v>19101</v>
      </c>
      <c r="AZ14" s="1">
        <v>17401</v>
      </c>
    </row>
  </sheetData>
  <sortState xmlns:xlrd2="http://schemas.microsoft.com/office/spreadsheetml/2017/richdata2" ref="A2:AZ14">
    <sortCondition ref="A2:A14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3AD60-0D6A-4D6F-959D-946175B5DDA1}">
  <dimension ref="A1:BD16"/>
  <sheetViews>
    <sheetView topLeftCell="A6" workbookViewId="0">
      <selection activeCell="F9" sqref="F9"/>
    </sheetView>
  </sheetViews>
  <sheetFormatPr defaultRowHeight="14.4" x14ac:dyDescent="0.3"/>
  <cols>
    <col min="1" max="1" width="8.88671875" style="11"/>
    <col min="6" max="33" width="9.109375" bestFit="1" customWidth="1"/>
    <col min="34" max="39" width="11.109375" bestFit="1" customWidth="1"/>
    <col min="40" max="55" width="12.109375" bestFit="1" customWidth="1"/>
    <col min="56" max="56" width="9.109375" bestFit="1" customWidth="1"/>
  </cols>
  <sheetData>
    <row r="1" spans="1:56" ht="28.8" x14ac:dyDescent="0.3">
      <c r="A1" s="13" t="s">
        <v>281</v>
      </c>
      <c r="B1" s="14" t="s">
        <v>0</v>
      </c>
    </row>
    <row r="2" spans="1:56" ht="43.2" x14ac:dyDescent="0.3">
      <c r="A2" s="11" t="s">
        <v>267</v>
      </c>
      <c r="B2" t="str">
        <f t="shared" ref="B2:B16" si="0">LEFT(A2,FIND(" ",A2))</f>
        <v xml:space="preserve">Grenada </v>
      </c>
      <c r="E2" t="s">
        <v>283</v>
      </c>
      <c r="F2">
        <v>1975</v>
      </c>
      <c r="G2">
        <v>1976</v>
      </c>
      <c r="H2">
        <v>1977</v>
      </c>
      <c r="I2">
        <v>1978</v>
      </c>
      <c r="J2">
        <v>1979</v>
      </c>
      <c r="K2">
        <v>1980</v>
      </c>
      <c r="L2">
        <v>1981</v>
      </c>
      <c r="M2">
        <v>1982</v>
      </c>
      <c r="N2">
        <v>1983</v>
      </c>
      <c r="O2">
        <v>1984</v>
      </c>
      <c r="P2">
        <v>1985</v>
      </c>
      <c r="Q2">
        <v>1986</v>
      </c>
      <c r="R2">
        <v>1987</v>
      </c>
      <c r="S2">
        <v>1988</v>
      </c>
      <c r="T2">
        <v>1989</v>
      </c>
      <c r="U2">
        <v>1990</v>
      </c>
      <c r="V2">
        <v>1991</v>
      </c>
      <c r="W2">
        <v>1992</v>
      </c>
      <c r="X2">
        <v>1993</v>
      </c>
      <c r="Y2">
        <v>1994</v>
      </c>
      <c r="Z2">
        <v>1995</v>
      </c>
      <c r="AA2">
        <v>1996</v>
      </c>
      <c r="AB2">
        <v>1997</v>
      </c>
      <c r="AC2">
        <v>1998</v>
      </c>
      <c r="AD2">
        <v>1999</v>
      </c>
      <c r="AE2">
        <v>2000</v>
      </c>
      <c r="AF2">
        <v>2001</v>
      </c>
      <c r="AG2">
        <v>2002</v>
      </c>
      <c r="AH2">
        <v>2003</v>
      </c>
      <c r="AI2">
        <v>2004</v>
      </c>
      <c r="AJ2">
        <v>2005</v>
      </c>
      <c r="AK2">
        <v>2006</v>
      </c>
      <c r="AL2">
        <v>2007</v>
      </c>
      <c r="AM2">
        <v>2008</v>
      </c>
      <c r="AN2">
        <v>2009</v>
      </c>
      <c r="AO2">
        <v>2010</v>
      </c>
      <c r="AP2">
        <v>2011</v>
      </c>
      <c r="AQ2">
        <v>2012</v>
      </c>
      <c r="AR2">
        <v>2013</v>
      </c>
      <c r="AS2">
        <v>2014</v>
      </c>
      <c r="AT2">
        <v>2015</v>
      </c>
      <c r="AU2">
        <v>2016</v>
      </c>
      <c r="AV2">
        <v>2017</v>
      </c>
      <c r="AW2">
        <v>2018</v>
      </c>
      <c r="AX2">
        <v>2019</v>
      </c>
      <c r="AY2">
        <v>2020</v>
      </c>
      <c r="AZ2">
        <v>2021</v>
      </c>
      <c r="BA2">
        <v>2022</v>
      </c>
      <c r="BB2">
        <v>2023</v>
      </c>
      <c r="BC2">
        <v>2024</v>
      </c>
      <c r="BD2">
        <v>2025</v>
      </c>
    </row>
    <row r="3" spans="1:56" ht="43.2" x14ac:dyDescent="0.3">
      <c r="A3" s="11" t="s">
        <v>268</v>
      </c>
      <c r="B3" t="str">
        <f t="shared" si="0"/>
        <v xml:space="preserve">Panama </v>
      </c>
      <c r="E3" t="str">
        <f>GDP_Dashboard!$R$7</f>
        <v>Afghanistan</v>
      </c>
      <c r="F3" s="9">
        <f ca="1">SUMIF('Data for 2nd chart'!$A$2:$A$14,GDP_Dashboard!$R$7,'Data for 2nd chart'!A2:AZ2)</f>
        <v>0</v>
      </c>
      <c r="G3" s="9">
        <f ca="1">SUMIF('Data for 2nd chart'!$A$2:$A$14,GDP_Dashboard!$R$7,'Data for 2nd chart'!B2:BA2)</f>
        <v>0</v>
      </c>
      <c r="H3" s="9">
        <f ca="1">SUMIF('Data for 2nd chart'!$A$2:$A$14,GDP_Dashboard!$R$7,'Data for 2nd chart'!C2:BB2)</f>
        <v>0</v>
      </c>
      <c r="I3" s="9">
        <f ca="1">SUMIF('Data for 2nd chart'!$A$2:$A$14,GDP_Dashboard!$R$7,'Data for 2nd chart'!D2:BC2)</f>
        <v>0</v>
      </c>
      <c r="J3" s="9">
        <f ca="1">SUMIF('Data for 2nd chart'!$A$2:$A$14,GDP_Dashboard!$R$7,'Data for 2nd chart'!E2:BD2)</f>
        <v>0</v>
      </c>
      <c r="K3" s="9">
        <f ca="1">SUMIF('Data for 2nd chart'!$A$2:$A$14,GDP_Dashboard!$R$7,'Data for 2nd chart'!F2:BE2)</f>
        <v>0</v>
      </c>
      <c r="L3" s="9">
        <f ca="1">SUMIF('Data for 2nd chart'!$A$2:$A$14,GDP_Dashboard!$R$7,'Data for 2nd chart'!G2:BF2)</f>
        <v>0</v>
      </c>
      <c r="M3" s="9">
        <f ca="1">SUMIF('Data for 2nd chart'!$A$2:$A$14,GDP_Dashboard!$R$7,'Data for 2nd chart'!H2:BG2)</f>
        <v>0</v>
      </c>
      <c r="N3" s="9">
        <f ca="1">SUMIF('Data for 2nd chart'!$A$2:$A$14,GDP_Dashboard!$R$7,'Data for 2nd chart'!I2:BH2)</f>
        <v>0</v>
      </c>
      <c r="O3" s="9">
        <f ca="1">SUMIF('Data for 2nd chart'!$A$2:$A$14,GDP_Dashboard!$R$7,'Data for 2nd chart'!J2:BI2)</f>
        <v>0</v>
      </c>
      <c r="P3" s="9">
        <f ca="1">SUMIF('Data for 2nd chart'!$A$2:$A$14,GDP_Dashboard!$R$7,'Data for 2nd chart'!K2:BJ2)</f>
        <v>0</v>
      </c>
      <c r="Q3" s="9">
        <f ca="1">SUMIF('Data for 2nd chart'!$A$2:$A$14,GDP_Dashboard!$R$7,'Data for 2nd chart'!L2:BK2)</f>
        <v>0</v>
      </c>
      <c r="R3" s="9">
        <f ca="1">SUMIF('Data for 2nd chart'!$A$2:$A$14,GDP_Dashboard!$R$7,'Data for 2nd chart'!M2:BL2)</f>
        <v>0</v>
      </c>
      <c r="S3" s="9">
        <f ca="1">SUMIF('Data for 2nd chart'!$A$2:$A$14,GDP_Dashboard!$R$7,'Data for 2nd chart'!N2:BM2)</f>
        <v>0</v>
      </c>
      <c r="T3" s="9">
        <f ca="1">SUMIF('Data for 2nd chart'!$A$2:$A$14,GDP_Dashboard!$R$7,'Data for 2nd chart'!O2:BN2)</f>
        <v>0</v>
      </c>
      <c r="U3" s="9">
        <f ca="1">SUMIF('Data for 2nd chart'!$A$2:$A$14,GDP_Dashboard!$R$7,'Data for 2nd chart'!P2:BO2)</f>
        <v>0</v>
      </c>
      <c r="V3" s="9">
        <f ca="1">SUMIF('Data for 2nd chart'!$A$2:$A$14,GDP_Dashboard!$R$7,'Data for 2nd chart'!Q2:BP2)</f>
        <v>0</v>
      </c>
      <c r="W3" s="9">
        <f ca="1">SUMIF('Data for 2nd chart'!$A$2:$A$14,GDP_Dashboard!$R$7,'Data for 2nd chart'!R2:BQ2)</f>
        <v>0</v>
      </c>
      <c r="X3" s="9">
        <f ca="1">SUMIF('Data for 2nd chart'!$A$2:$A$14,GDP_Dashboard!$R$7,'Data for 2nd chart'!S2:BR2)</f>
        <v>0</v>
      </c>
      <c r="Y3" s="9">
        <f ca="1">SUMIF('Data for 2nd chart'!$A$2:$A$14,GDP_Dashboard!$R$7,'Data for 2nd chart'!T2:BS2)</f>
        <v>0</v>
      </c>
      <c r="Z3" s="9">
        <f ca="1">SUMIF('Data for 2nd chart'!$A$2:$A$14,GDP_Dashboard!$R$7,'Data for 2nd chart'!U2:BT2)</f>
        <v>0</v>
      </c>
      <c r="AA3" s="9">
        <f ca="1">SUMIF('Data for 2nd chart'!$A$2:$A$14,GDP_Dashboard!$R$7,'Data for 2nd chart'!V2:BU2)</f>
        <v>0</v>
      </c>
      <c r="AB3" s="9">
        <f ca="1">SUMIF('Data for 2nd chart'!$A$2:$A$14,GDP_Dashboard!$R$7,'Data for 2nd chart'!W2:BV2)</f>
        <v>0</v>
      </c>
      <c r="AC3" s="9">
        <f ca="1">SUMIF('Data for 2nd chart'!$A$2:$A$14,GDP_Dashboard!$R$7,'Data for 2nd chart'!X2:BW2)</f>
        <v>0</v>
      </c>
      <c r="AD3" s="9">
        <f ca="1">SUMIF('Data for 2nd chart'!$A$2:$A$14,GDP_Dashboard!$R$7,'Data for 2nd chart'!Y2:BX2)</f>
        <v>0</v>
      </c>
      <c r="AE3" s="9">
        <f ca="1">SUMIF('Data for 2nd chart'!$A$2:$A$14,GDP_Dashboard!$R$7,'Data for 2nd chart'!Z2:BY2)</f>
        <v>0</v>
      </c>
      <c r="AF3" s="9">
        <f ca="1">SUMIF('Data for 2nd chart'!$A$2:$A$14,GDP_Dashboard!$R$7,'Data for 2nd chart'!AA2:BZ2)</f>
        <v>0</v>
      </c>
      <c r="AG3" s="9">
        <f ca="1">SUMIF('Data for 2nd chart'!$A$2:$A$14,GDP_Dashboard!$R$7,'Data for 2nd chart'!AB2:CA2)</f>
        <v>0</v>
      </c>
      <c r="AH3" s="9">
        <f ca="1">SUMIF('Data for 2nd chart'!$A$2:$A$14,GDP_Dashboard!$R$7,'Data for 2nd chart'!AC2:CB2)</f>
        <v>4367</v>
      </c>
      <c r="AI3" s="9">
        <f ca="1">SUMIF('Data for 2nd chart'!$A$2:$A$14,GDP_Dashboard!$R$7,'Data for 2nd chart'!AD2:CC2)</f>
        <v>4553</v>
      </c>
      <c r="AJ3" s="9">
        <f ca="1">SUMIF('Data for 2nd chart'!$A$2:$A$14,GDP_Dashboard!$R$7,'Data for 2nd chart'!AE2:CD2)</f>
        <v>5146</v>
      </c>
      <c r="AK3" s="9">
        <f ca="1">SUMIF('Data for 2nd chart'!$A$2:$A$14,GDP_Dashboard!$R$7,'Data for 2nd chart'!AF2:CE2)</f>
        <v>6167</v>
      </c>
      <c r="AL3" s="9">
        <f ca="1">SUMIF('Data for 2nd chart'!$A$2:$A$14,GDP_Dashboard!$R$7,'Data for 2nd chart'!AG2:CF2)</f>
        <v>6925</v>
      </c>
      <c r="AM3" s="9">
        <f ca="1">SUMIF('Data for 2nd chart'!$A$2:$A$14,GDP_Dashboard!$R$7,'Data for 2nd chart'!AH2:CG2)</f>
        <v>8556</v>
      </c>
      <c r="AN3" s="9">
        <f ca="1">SUMIF('Data for 2nd chart'!$A$2:$A$14,GDP_Dashboard!$R$7,'Data for 2nd chart'!AI2:CH2)</f>
        <v>10297</v>
      </c>
      <c r="AO3" s="9">
        <f ca="1">SUMIF('Data for 2nd chart'!$A$2:$A$14,GDP_Dashboard!$R$7,'Data for 2nd chart'!AJ2:CI2)</f>
        <v>12066</v>
      </c>
      <c r="AP3" s="9">
        <f ca="1">SUMIF('Data for 2nd chart'!$A$2:$A$14,GDP_Dashboard!$R$7,'Data for 2nd chart'!AK2:CJ2)</f>
        <v>15325</v>
      </c>
      <c r="AQ3" s="9">
        <f ca="1">SUMIF('Data for 2nd chart'!$A$2:$A$14,GDP_Dashboard!$R$7,'Data for 2nd chart'!AL2:CK2)</f>
        <v>17890</v>
      </c>
      <c r="AR3" s="9">
        <f ca="1">SUMIF('Data for 2nd chart'!$A$2:$A$14,GDP_Dashboard!$R$7,'Data for 2nd chart'!AM2:CL2)</f>
        <v>20293</v>
      </c>
      <c r="AS3" s="9">
        <f ca="1">SUMIF('Data for 2nd chart'!$A$2:$A$14,GDP_Dashboard!$R$7,'Data for 2nd chart'!AN2:CM2)</f>
        <v>20170</v>
      </c>
      <c r="AT3" s="9">
        <f ca="1">SUMIF('Data for 2nd chart'!$A$2:$A$14,GDP_Dashboard!$R$7,'Data for 2nd chart'!AO2:CN2)</f>
        <v>20616</v>
      </c>
      <c r="AU3" s="9">
        <f ca="1">SUMIF('Data for 2nd chart'!$A$2:$A$14,GDP_Dashboard!$R$7,'Data for 2nd chart'!AP2:CO2)</f>
        <v>20057</v>
      </c>
      <c r="AV3" s="9">
        <f ca="1">SUMIF('Data for 2nd chart'!$A$2:$A$14,GDP_Dashboard!$R$7,'Data for 2nd chart'!AQ2:CP2)</f>
        <v>18020</v>
      </c>
      <c r="AW3" s="9">
        <f ca="1">SUMIF('Data for 2nd chart'!$A$2:$A$14,GDP_Dashboard!$R$7,'Data for 2nd chart'!AR2:CQ2)</f>
        <v>18883</v>
      </c>
      <c r="AX3" s="9">
        <f ca="1">SUMIF('Data for 2nd chart'!$A$2:$A$14,GDP_Dashboard!$R$7,'Data for 2nd chart'!AS2:CR2)</f>
        <v>18336</v>
      </c>
      <c r="AY3" s="9">
        <f ca="1">SUMIF('Data for 2nd chart'!$A$2:$A$14,GDP_Dashboard!$R$7,'Data for 2nd chart'!AT2:CS2)</f>
        <v>18876</v>
      </c>
      <c r="AZ3" s="9">
        <f ca="1">SUMIF('Data for 2nd chart'!$A$2:$A$14,GDP_Dashboard!$R$7,'Data for 2nd chart'!AU2:CT2)</f>
        <v>20136</v>
      </c>
      <c r="BA3" s="9">
        <f ca="1">SUMIF('Data for 2nd chart'!$A$2:$A$14,GDP_Dashboard!$R$7,'Data for 2nd chart'!AV2:CU2)</f>
        <v>14278</v>
      </c>
      <c r="BB3" s="9">
        <f ca="1">SUMIF('Data for 2nd chart'!$A$2:$A$14,GDP_Dashboard!$R$7,'Data for 2nd chart'!AW2:CV2)</f>
        <v>14501</v>
      </c>
      <c r="BC3" s="9">
        <f ca="1">SUMIF('Data for 2nd chart'!$A$2:$A$14,GDP_Dashboard!$R$7,'Data for 2nd chart'!AX2:CW2)</f>
        <v>17248</v>
      </c>
      <c r="BD3" s="9">
        <f ca="1">SUMIF('Data for 2nd chart'!$A$2:$A$14,GDP_Dashboard!$R$7,'Data for 2nd chart'!AY2:CX2)</f>
        <v>0</v>
      </c>
    </row>
    <row r="4" spans="1:56" ht="86.4" x14ac:dyDescent="0.3">
      <c r="A4" s="11" t="s">
        <v>269</v>
      </c>
      <c r="B4" t="str">
        <f t="shared" si="0"/>
        <v xml:space="preserve">Iraq </v>
      </c>
      <c r="E4" t="s">
        <v>196</v>
      </c>
      <c r="F4" s="1">
        <v>1623400</v>
      </c>
      <c r="G4" s="1">
        <v>1809100</v>
      </c>
      <c r="H4" s="1">
        <v>2013600</v>
      </c>
      <c r="I4" s="1">
        <v>2276000</v>
      </c>
      <c r="J4" s="1">
        <v>2543500</v>
      </c>
      <c r="K4" s="1">
        <v>2857325</v>
      </c>
      <c r="L4" s="1">
        <v>3207025</v>
      </c>
      <c r="M4" s="1">
        <v>3343800</v>
      </c>
      <c r="N4" s="1">
        <v>3634025</v>
      </c>
      <c r="O4" s="1">
        <v>4037650</v>
      </c>
      <c r="P4" s="1">
        <v>4339000</v>
      </c>
      <c r="Q4" s="1">
        <v>4579625</v>
      </c>
      <c r="R4" s="1">
        <v>4855250</v>
      </c>
      <c r="S4" s="1">
        <v>5236425</v>
      </c>
      <c r="T4" s="1">
        <v>5641600</v>
      </c>
      <c r="U4" s="1">
        <v>5963125</v>
      </c>
      <c r="V4" s="1">
        <v>6158125</v>
      </c>
      <c r="W4" s="1">
        <v>6520325</v>
      </c>
      <c r="X4" s="1">
        <v>6858550</v>
      </c>
      <c r="Y4" s="1">
        <v>7287250</v>
      </c>
      <c r="Z4" s="1">
        <v>7639750</v>
      </c>
      <c r="AA4" s="1">
        <v>8073125</v>
      </c>
      <c r="AB4" s="1">
        <v>8577550</v>
      </c>
      <c r="AC4" s="1">
        <v>9062825</v>
      </c>
      <c r="AD4" s="1">
        <v>9631175</v>
      </c>
      <c r="AE4" s="1">
        <v>10250950</v>
      </c>
      <c r="AF4" s="1">
        <v>10581925</v>
      </c>
      <c r="AG4" s="1">
        <v>10929100</v>
      </c>
      <c r="AH4" s="1">
        <v>11456450</v>
      </c>
      <c r="AI4" s="1">
        <v>12217175</v>
      </c>
      <c r="AJ4" s="1">
        <v>13039200</v>
      </c>
      <c r="AK4" s="1">
        <v>13815600</v>
      </c>
      <c r="AL4" s="1">
        <v>14474250</v>
      </c>
      <c r="AM4" s="1">
        <v>14769850</v>
      </c>
      <c r="AN4" s="1">
        <v>14478050</v>
      </c>
      <c r="AO4" s="1">
        <v>15048975</v>
      </c>
      <c r="AP4" s="1">
        <v>15599725</v>
      </c>
      <c r="AQ4" s="1">
        <v>16253950</v>
      </c>
      <c r="AR4" s="1">
        <v>16880675</v>
      </c>
      <c r="AS4" s="1">
        <v>17608125</v>
      </c>
      <c r="AT4" s="1">
        <v>18295000</v>
      </c>
      <c r="AU4" s="1">
        <v>18804900</v>
      </c>
      <c r="AV4" s="1">
        <v>19612100</v>
      </c>
      <c r="AW4" s="1">
        <v>20656525</v>
      </c>
      <c r="AX4" s="1">
        <v>21539975</v>
      </c>
      <c r="AY4" s="1">
        <v>21354125</v>
      </c>
      <c r="AZ4" s="1">
        <v>23681175</v>
      </c>
      <c r="BA4" s="1">
        <v>26006900</v>
      </c>
      <c r="BB4" s="1">
        <v>27720725</v>
      </c>
      <c r="BC4" s="1">
        <v>29184900</v>
      </c>
      <c r="BD4" s="1">
        <v>30507217</v>
      </c>
    </row>
    <row r="5" spans="1:56" ht="158.4" x14ac:dyDescent="0.3">
      <c r="A5" s="11" t="s">
        <v>282</v>
      </c>
      <c r="B5" t="str">
        <f t="shared" si="0"/>
        <v xml:space="preserve">Somalia </v>
      </c>
      <c r="E5" s="11"/>
      <c r="F5" s="19"/>
    </row>
    <row r="6" spans="1:56" ht="57.6" x14ac:dyDescent="0.3">
      <c r="A6" s="11" t="s">
        <v>270</v>
      </c>
      <c r="B6" t="str">
        <f t="shared" si="0"/>
        <v xml:space="preserve">Haiti </v>
      </c>
      <c r="E6" t="s">
        <v>283</v>
      </c>
      <c r="F6">
        <v>1975</v>
      </c>
      <c r="G6">
        <v>1976</v>
      </c>
      <c r="H6">
        <v>1977</v>
      </c>
      <c r="I6">
        <v>1978</v>
      </c>
      <c r="J6">
        <v>1979</v>
      </c>
      <c r="K6">
        <v>1980</v>
      </c>
      <c r="L6">
        <v>1981</v>
      </c>
      <c r="M6">
        <v>1982</v>
      </c>
      <c r="N6">
        <v>1983</v>
      </c>
      <c r="O6">
        <v>1984</v>
      </c>
      <c r="P6">
        <v>1985</v>
      </c>
      <c r="Q6">
        <v>1986</v>
      </c>
      <c r="R6">
        <v>1987</v>
      </c>
      <c r="S6">
        <v>1988</v>
      </c>
      <c r="T6">
        <v>1989</v>
      </c>
      <c r="U6">
        <v>1990</v>
      </c>
      <c r="V6">
        <v>1991</v>
      </c>
      <c r="W6">
        <v>1992</v>
      </c>
      <c r="X6">
        <v>1993</v>
      </c>
      <c r="Y6">
        <v>1994</v>
      </c>
      <c r="Z6">
        <v>1995</v>
      </c>
      <c r="AA6">
        <v>1996</v>
      </c>
      <c r="AB6">
        <v>1997</v>
      </c>
      <c r="AC6">
        <v>1998</v>
      </c>
      <c r="AD6">
        <v>1999</v>
      </c>
      <c r="AE6">
        <v>2000</v>
      </c>
      <c r="AF6">
        <v>2001</v>
      </c>
      <c r="AG6">
        <v>2002</v>
      </c>
      <c r="AH6">
        <v>2003</v>
      </c>
      <c r="AI6">
        <v>2004</v>
      </c>
      <c r="AJ6">
        <v>2005</v>
      </c>
      <c r="AK6">
        <v>2006</v>
      </c>
      <c r="AL6">
        <v>2007</v>
      </c>
      <c r="AM6">
        <v>2008</v>
      </c>
      <c r="AN6">
        <v>2009</v>
      </c>
      <c r="AO6">
        <v>2010</v>
      </c>
      <c r="AP6">
        <v>2011</v>
      </c>
      <c r="AQ6">
        <v>2012</v>
      </c>
      <c r="AR6">
        <v>2013</v>
      </c>
      <c r="AS6">
        <v>2014</v>
      </c>
      <c r="AT6">
        <v>2015</v>
      </c>
      <c r="AU6">
        <v>2016</v>
      </c>
      <c r="AV6">
        <v>2017</v>
      </c>
      <c r="AW6">
        <v>2018</v>
      </c>
      <c r="AX6">
        <v>2019</v>
      </c>
      <c r="AY6">
        <v>2020</v>
      </c>
      <c r="AZ6">
        <v>2021</v>
      </c>
      <c r="BA6">
        <v>2022</v>
      </c>
      <c r="BB6">
        <v>2023</v>
      </c>
      <c r="BC6">
        <v>2024</v>
      </c>
      <c r="BD6">
        <v>2025</v>
      </c>
    </row>
    <row r="7" spans="1:56" ht="75" x14ac:dyDescent="0.3">
      <c r="A7" s="12" t="s">
        <v>271</v>
      </c>
      <c r="B7" t="str">
        <f t="shared" si="0"/>
        <v xml:space="preserve">Kosovo </v>
      </c>
      <c r="E7" t="str">
        <f>GDP_Dashboard!$R$7</f>
        <v>Afghanistan</v>
      </c>
      <c r="F7" s="9">
        <f>SUMIF(GDP_1975_2025_uploaded!$A$2:$A$206,GDP_Dashboard!$R$7,GDP_1975_2025_uploaded!B2:AZ206)</f>
        <v>2367</v>
      </c>
      <c r="G7" s="9">
        <f>SUMIF(GDP_1975_2025_uploaded!$A$2:$A$206,GDP_Dashboard!$R$7,GDP_1975_2025_uploaded!C2:BA206)</f>
        <v>2556</v>
      </c>
      <c r="H7" s="9">
        <f>SUMIF(GDP_1975_2025_uploaded!$A$2:$A$206,GDP_Dashboard!$R$7,GDP_1975_2025_uploaded!D2:BB206)</f>
        <v>2953</v>
      </c>
      <c r="I7" s="9">
        <f>SUMIF(GDP_1975_2025_uploaded!$A$2:$A$206,GDP_Dashboard!$R$7,GDP_1975_2025_uploaded!E2:BC206)</f>
        <v>3300</v>
      </c>
      <c r="J7" s="9">
        <f>SUMIF(GDP_1975_2025_uploaded!$A$2:$A$206,GDP_Dashboard!$R$7,GDP_1975_2025_uploaded!F2:BD206)</f>
        <v>3698</v>
      </c>
      <c r="K7" s="9">
        <f>SUMIF(GDP_1975_2025_uploaded!$A$2:$A$206,GDP_Dashboard!$R$7,GDP_1975_2025_uploaded!G2:BE206)</f>
        <v>0</v>
      </c>
      <c r="L7" s="9">
        <f>SUMIF(GDP_1975_2025_uploaded!$A$2:$A$206,GDP_Dashboard!$R$7,GDP_1975_2025_uploaded!H2:BF206)</f>
        <v>0</v>
      </c>
      <c r="M7" s="9">
        <f>SUMIF(GDP_1975_2025_uploaded!$A$2:$A$206,GDP_Dashboard!$R$7,GDP_1975_2025_uploaded!I2:BG206)</f>
        <v>0</v>
      </c>
      <c r="N7" s="9">
        <f>SUMIF(GDP_1975_2025_uploaded!$A$2:$A$206,GDP_Dashboard!$R$7,GDP_1975_2025_uploaded!J2:BH206)</f>
        <v>0</v>
      </c>
      <c r="O7" s="9">
        <f>SUMIF(GDP_1975_2025_uploaded!$A$2:$A$206,GDP_Dashboard!$R$7,GDP_1975_2025_uploaded!K2:BI206)</f>
        <v>0</v>
      </c>
      <c r="P7" s="9">
        <f>SUMIF(GDP_1975_2025_uploaded!$A$2:$A$206,GDP_Dashboard!$R$7,GDP_1975_2025_uploaded!L2:BJ206)</f>
        <v>0</v>
      </c>
      <c r="Q7" s="9">
        <f>SUMIF(GDP_1975_2025_uploaded!$A$2:$A$206,GDP_Dashboard!$R$7,GDP_1975_2025_uploaded!M2:BK206)</f>
        <v>0</v>
      </c>
      <c r="R7" s="9">
        <f>SUMIF(GDP_1975_2025_uploaded!$A$2:$A$206,GDP_Dashboard!$R$7,GDP_1975_2025_uploaded!N2:BL206)</f>
        <v>0</v>
      </c>
      <c r="S7" s="9">
        <f>SUMIF(GDP_1975_2025_uploaded!$A$2:$A$206,GDP_Dashboard!$R$7,GDP_1975_2025_uploaded!O2:BM206)</f>
        <v>0</v>
      </c>
      <c r="T7" s="9">
        <f>SUMIF(GDP_1975_2025_uploaded!$A$2:$A$206,GDP_Dashboard!$R$7,GDP_1975_2025_uploaded!P2:BN206)</f>
        <v>0</v>
      </c>
      <c r="U7" s="9">
        <f>SUMIF(GDP_1975_2025_uploaded!$A$2:$A$206,GDP_Dashboard!$R$7,GDP_1975_2025_uploaded!Q2:BO206)</f>
        <v>0</v>
      </c>
      <c r="V7" s="9">
        <f>SUMIF(GDP_1975_2025_uploaded!$A$2:$A$206,GDP_Dashboard!$R$7,GDP_1975_2025_uploaded!R2:BP206)</f>
        <v>0</v>
      </c>
      <c r="W7" s="9">
        <f>SUMIF(GDP_1975_2025_uploaded!$A$2:$A$206,GDP_Dashboard!$R$7,GDP_1975_2025_uploaded!S2:BQ206)</f>
        <v>0</v>
      </c>
      <c r="X7" s="9">
        <f>SUMIF(GDP_1975_2025_uploaded!$A$2:$A$206,GDP_Dashboard!$R$7,GDP_1975_2025_uploaded!T2:BR206)</f>
        <v>0</v>
      </c>
      <c r="Y7" s="9">
        <f>SUMIF(GDP_1975_2025_uploaded!$A$2:$A$206,GDP_Dashboard!$R$7,GDP_1975_2025_uploaded!U2:BS206)</f>
        <v>0</v>
      </c>
      <c r="Z7" s="9">
        <f>SUMIF(GDP_1975_2025_uploaded!$A$2:$A$206,GDP_Dashboard!$R$7,GDP_1975_2025_uploaded!V2:BT206)</f>
        <v>0</v>
      </c>
      <c r="AA7" s="9">
        <f>SUMIF(GDP_1975_2025_uploaded!$A$2:$A$206,GDP_Dashboard!$R$7,GDP_1975_2025_uploaded!W2:BU206)</f>
        <v>0</v>
      </c>
      <c r="AB7" s="9">
        <f>SUMIF(GDP_1975_2025_uploaded!$A$2:$A$206,GDP_Dashboard!$R$7,GDP_1975_2025_uploaded!X2:BV206)</f>
        <v>0</v>
      </c>
      <c r="AC7" s="9">
        <f>SUMIF(GDP_1975_2025_uploaded!$A$2:$A$206,GDP_Dashboard!$R$7,GDP_1975_2025_uploaded!Y2:BW206)</f>
        <v>0</v>
      </c>
      <c r="AD7" s="9">
        <f>SUMIF(GDP_1975_2025_uploaded!$A$2:$A$206,GDP_Dashboard!$R$7,GDP_1975_2025_uploaded!Z2:BX206)</f>
        <v>0</v>
      </c>
      <c r="AE7" s="9">
        <f>SUMIF(GDP_1975_2025_uploaded!$A$2:$A$206,GDP_Dashboard!$R$7,GDP_1975_2025_uploaded!AA2:BY206)</f>
        <v>0</v>
      </c>
      <c r="AF7" s="9">
        <f>SUMIF(GDP_1975_2025_uploaded!$A$2:$A$206,GDP_Dashboard!$R$7,GDP_1975_2025_uploaded!AB2:BZ206)</f>
        <v>0</v>
      </c>
      <c r="AG7" s="9">
        <f>SUMIF(GDP_1975_2025_uploaded!$A$2:$A$206,GDP_Dashboard!$R$7,GDP_1975_2025_uploaded!AC2:CA206)</f>
        <v>4367</v>
      </c>
      <c r="AH7" s="9">
        <f>SUMIF(GDP_1975_2025_uploaded!$A$2:$A$206,GDP_Dashboard!$R$7,GDP_1975_2025_uploaded!AD2:CB206)</f>
        <v>4553</v>
      </c>
      <c r="AI7" s="9">
        <f>SUMIF(GDP_1975_2025_uploaded!$A$2:$A$206,GDP_Dashboard!$R$7,GDP_1975_2025_uploaded!AE2:CC206)</f>
        <v>5146</v>
      </c>
      <c r="AJ7" s="9">
        <f>SUMIF(GDP_1975_2025_uploaded!$A$2:$A$206,GDP_Dashboard!$R$7,GDP_1975_2025_uploaded!AF2:CD206)</f>
        <v>6167</v>
      </c>
      <c r="AK7" s="9">
        <f>SUMIF(GDP_1975_2025_uploaded!$A$2:$A$206,GDP_Dashboard!$R$7,GDP_1975_2025_uploaded!AG2:CE206)</f>
        <v>6925</v>
      </c>
      <c r="AL7" s="9">
        <f>SUMIF(GDP_1975_2025_uploaded!$A$2:$A$206,GDP_Dashboard!$R$7,GDP_1975_2025_uploaded!AH2:CF206)</f>
        <v>8556</v>
      </c>
      <c r="AM7" s="9">
        <f>SUMIF(GDP_1975_2025_uploaded!$A$2:$A$206,GDP_Dashboard!$R$7,GDP_1975_2025_uploaded!AI2:CG206)</f>
        <v>10297</v>
      </c>
      <c r="AN7" s="9">
        <f>SUMIF(GDP_1975_2025_uploaded!$A$2:$A$206,GDP_Dashboard!$R$7,GDP_1975_2025_uploaded!AJ2:CH206)</f>
        <v>12066</v>
      </c>
      <c r="AO7" s="9">
        <f>SUMIF(GDP_1975_2025_uploaded!$A$2:$A$206,GDP_Dashboard!$R$7,GDP_1975_2025_uploaded!AK2:CI206)</f>
        <v>15325</v>
      </c>
      <c r="AP7" s="9">
        <f>SUMIF(GDP_1975_2025_uploaded!$A$2:$A$206,GDP_Dashboard!$R$7,GDP_1975_2025_uploaded!AL2:CJ206)</f>
        <v>17890</v>
      </c>
      <c r="AQ7" s="9">
        <f>SUMIF(GDP_1975_2025_uploaded!$A$2:$A$206,GDP_Dashboard!$R$7,GDP_1975_2025_uploaded!AM2:CK206)</f>
        <v>20293</v>
      </c>
      <c r="AR7" s="9">
        <f>SUMIF(GDP_1975_2025_uploaded!$A$2:$A$206,GDP_Dashboard!$R$7,GDP_1975_2025_uploaded!AN2:CL206)</f>
        <v>20170</v>
      </c>
      <c r="AS7" s="9">
        <f>SUMIF(GDP_1975_2025_uploaded!$A$2:$A$206,GDP_Dashboard!$R$7,GDP_1975_2025_uploaded!AO2:CM206)</f>
        <v>20616</v>
      </c>
      <c r="AT7" s="9">
        <f>SUMIF(GDP_1975_2025_uploaded!$A$2:$A$206,GDP_Dashboard!$R$7,GDP_1975_2025_uploaded!AP2:CN206)</f>
        <v>20057</v>
      </c>
      <c r="AU7" s="9">
        <f>SUMIF(GDP_1975_2025_uploaded!$A$2:$A$206,GDP_Dashboard!$R$7,GDP_1975_2025_uploaded!AQ2:CO206)</f>
        <v>18020</v>
      </c>
      <c r="AV7" s="9">
        <f>SUMIF(GDP_1975_2025_uploaded!$A$2:$A$206,GDP_Dashboard!$R$7,GDP_1975_2025_uploaded!AR2:CP206)</f>
        <v>18883</v>
      </c>
      <c r="AW7" s="9">
        <f>SUMIF(GDP_1975_2025_uploaded!$A$2:$A$206,GDP_Dashboard!$R$7,GDP_1975_2025_uploaded!AS2:CQ206)</f>
        <v>18336</v>
      </c>
      <c r="AX7" s="9">
        <f>SUMIF(GDP_1975_2025_uploaded!$A$2:$A$206,GDP_Dashboard!$R$7,GDP_1975_2025_uploaded!AT2:CR206)</f>
        <v>18876</v>
      </c>
      <c r="AY7" s="9">
        <f>SUMIF(GDP_1975_2025_uploaded!$A$2:$A$206,GDP_Dashboard!$R$7,GDP_1975_2025_uploaded!AU2:CS206)</f>
        <v>20136</v>
      </c>
      <c r="AZ7" s="9">
        <f>SUMIF(GDP_1975_2025_uploaded!$A$2:$A$206,GDP_Dashboard!$R$7,GDP_1975_2025_uploaded!AV2:CT206)</f>
        <v>14278</v>
      </c>
      <c r="BA7" s="9">
        <f>SUMIF(GDP_1975_2025_uploaded!$A$2:$A$206,GDP_Dashboard!$R$7,GDP_1975_2025_uploaded!AW2:CU206)</f>
        <v>14501</v>
      </c>
      <c r="BB7" s="9">
        <f>SUMIF(GDP_1975_2025_uploaded!$A$2:$A$206,GDP_Dashboard!$R$7,GDP_1975_2025_uploaded!AX2:CV206)</f>
        <v>17248</v>
      </c>
      <c r="BC7" s="9">
        <f>SUMIF(GDP_1975_2025_uploaded!$A$2:$A$206,GDP_Dashboard!$R$7,GDP_1975_2025_uploaded!AY2:CW206)</f>
        <v>0</v>
      </c>
      <c r="BD7" s="9">
        <f>SUMIF(GDP_1975_2025_uploaded!$A$2:$A$206,GDP_Dashboard!$R$7,GDP_1975_2025_uploaded!AZ2:CX206)</f>
        <v>0</v>
      </c>
    </row>
    <row r="8" spans="1:56" ht="60" x14ac:dyDescent="0.3">
      <c r="A8" s="10" t="s">
        <v>272</v>
      </c>
      <c r="B8" t="str">
        <f t="shared" si="0"/>
        <v xml:space="preserve">Afghanistan </v>
      </c>
      <c r="E8" t="s">
        <v>196</v>
      </c>
      <c r="F8" s="1">
        <v>1623400</v>
      </c>
      <c r="G8" s="1">
        <v>1809100</v>
      </c>
      <c r="H8" s="1">
        <v>2013600</v>
      </c>
      <c r="I8" s="1">
        <v>2276000</v>
      </c>
      <c r="J8" s="1">
        <v>2543500</v>
      </c>
      <c r="K8" s="1">
        <v>2857325</v>
      </c>
      <c r="L8" s="1">
        <v>3207025</v>
      </c>
      <c r="M8" s="1">
        <v>3343800</v>
      </c>
      <c r="N8" s="1">
        <v>3634025</v>
      </c>
      <c r="O8" s="1">
        <v>4037650</v>
      </c>
      <c r="P8" s="1">
        <v>4339000</v>
      </c>
      <c r="Q8" s="1">
        <v>4579625</v>
      </c>
      <c r="R8" s="1">
        <v>4855250</v>
      </c>
      <c r="S8" s="1">
        <v>5236425</v>
      </c>
      <c r="T8" s="1">
        <v>5641600</v>
      </c>
      <c r="U8" s="1">
        <v>5963125</v>
      </c>
      <c r="V8" s="1">
        <v>6158125</v>
      </c>
      <c r="W8" s="1">
        <v>6520325</v>
      </c>
      <c r="X8" s="1">
        <v>6858550</v>
      </c>
      <c r="Y8" s="1">
        <v>7287250</v>
      </c>
      <c r="Z8" s="1">
        <v>7639750</v>
      </c>
      <c r="AA8" s="1">
        <v>8073125</v>
      </c>
      <c r="AB8" s="1">
        <v>8577550</v>
      </c>
      <c r="AC8" s="1">
        <v>9062825</v>
      </c>
      <c r="AD8" s="1">
        <v>9631175</v>
      </c>
      <c r="AE8" s="1">
        <v>10250950</v>
      </c>
      <c r="AF8" s="1">
        <v>10581925</v>
      </c>
      <c r="AG8" s="1">
        <v>10929100</v>
      </c>
      <c r="AH8" s="1">
        <v>11456450</v>
      </c>
      <c r="AI8" s="1">
        <v>12217175</v>
      </c>
      <c r="AJ8" s="1">
        <v>13039200</v>
      </c>
      <c r="AK8" s="1">
        <v>13815600</v>
      </c>
      <c r="AL8" s="1">
        <v>14474250</v>
      </c>
      <c r="AM8" s="1">
        <v>14769850</v>
      </c>
      <c r="AN8" s="1">
        <v>14478050</v>
      </c>
      <c r="AO8" s="1">
        <v>15048975</v>
      </c>
      <c r="AP8" s="1">
        <v>15599725</v>
      </c>
      <c r="AQ8" s="1">
        <v>16253950</v>
      </c>
      <c r="AR8" s="1">
        <v>16880675</v>
      </c>
      <c r="AS8" s="1">
        <v>17608125</v>
      </c>
      <c r="AT8" s="1">
        <v>18295000</v>
      </c>
      <c r="AU8" s="1">
        <v>18804900</v>
      </c>
      <c r="AV8" s="1">
        <v>19612100</v>
      </c>
      <c r="AW8" s="1">
        <v>20656525</v>
      </c>
      <c r="AX8" s="1">
        <v>21539975</v>
      </c>
      <c r="AY8" s="1">
        <v>21354125</v>
      </c>
      <c r="AZ8" s="1">
        <v>23681175</v>
      </c>
      <c r="BA8" s="1">
        <v>26006900</v>
      </c>
      <c r="BB8" s="1">
        <v>27720725</v>
      </c>
      <c r="BC8" s="1">
        <v>29184900</v>
      </c>
      <c r="BD8" s="1">
        <v>30507217</v>
      </c>
    </row>
    <row r="9" spans="1:56" ht="105" x14ac:dyDescent="0.3">
      <c r="A9" s="10" t="s">
        <v>273</v>
      </c>
      <c r="B9" t="str">
        <f t="shared" si="0"/>
        <v xml:space="preserve">Iraq </v>
      </c>
      <c r="E9" s="11" t="s">
        <v>287</v>
      </c>
      <c r="F9" s="20">
        <f>SUM(F7:BD7)/SUM(F8:BD8)</f>
        <v>5.5284342428719264E-4</v>
      </c>
    </row>
    <row r="10" spans="1:56" ht="120" x14ac:dyDescent="0.3">
      <c r="A10" s="10" t="s">
        <v>274</v>
      </c>
      <c r="B10" t="str">
        <f t="shared" si="0"/>
        <v xml:space="preserve">Pakistan </v>
      </c>
    </row>
    <row r="11" spans="1:56" ht="105" x14ac:dyDescent="0.3">
      <c r="A11" s="10" t="s">
        <v>275</v>
      </c>
      <c r="B11" t="str">
        <f t="shared" si="0"/>
        <v xml:space="preserve">Yemen </v>
      </c>
    </row>
    <row r="12" spans="1:56" ht="120" x14ac:dyDescent="0.3">
      <c r="A12" s="10" t="s">
        <v>276</v>
      </c>
      <c r="B12" t="str">
        <f t="shared" si="0"/>
        <v xml:space="preserve">Libya </v>
      </c>
    </row>
    <row r="13" spans="1:56" ht="90" x14ac:dyDescent="0.3">
      <c r="A13" s="10" t="s">
        <v>277</v>
      </c>
      <c r="B13" t="str">
        <f t="shared" si="0"/>
        <v xml:space="preserve">Syria </v>
      </c>
    </row>
    <row r="14" spans="1:56" ht="90" x14ac:dyDescent="0.3">
      <c r="A14" s="10" t="s">
        <v>278</v>
      </c>
      <c r="B14" t="str">
        <f t="shared" si="0"/>
        <v xml:space="preserve">Philippines </v>
      </c>
    </row>
    <row r="15" spans="1:56" ht="90" x14ac:dyDescent="0.3">
      <c r="A15" s="10" t="s">
        <v>279</v>
      </c>
      <c r="B15" t="str">
        <f t="shared" si="0"/>
        <v xml:space="preserve">Niger/Sahel </v>
      </c>
    </row>
    <row r="16" spans="1:56" ht="75" x14ac:dyDescent="0.3">
      <c r="A16" s="10" t="s">
        <v>280</v>
      </c>
      <c r="B16" t="str">
        <f t="shared" si="0"/>
        <v xml:space="preserve">Uganda/DRC 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F7AEE-9A62-453C-8072-53D3D893EFBA}">
  <dimension ref="A1:U31"/>
  <sheetViews>
    <sheetView showGridLines="0" showRowColHeaders="0" topLeftCell="A2" zoomScale="105" zoomScaleNormal="105" workbookViewId="0">
      <selection activeCell="F7" sqref="F7"/>
    </sheetView>
  </sheetViews>
  <sheetFormatPr defaultRowHeight="14.4" x14ac:dyDescent="0.3"/>
  <cols>
    <col min="5" max="5" width="8.5546875" customWidth="1"/>
    <col min="6" max="6" width="15.33203125" customWidth="1"/>
    <col min="18" max="18" width="12.44140625" customWidth="1"/>
  </cols>
  <sheetData>
    <row r="1" spans="1:21" s="23" customFormat="1" ht="25.8" x14ac:dyDescent="0.5">
      <c r="A1" s="28" t="s">
        <v>288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</row>
    <row r="6" spans="1:21" s="22" customFormat="1" ht="21" x14ac:dyDescent="0.4">
      <c r="F6" s="21" t="s">
        <v>0</v>
      </c>
      <c r="R6" s="21" t="s">
        <v>0</v>
      </c>
    </row>
    <row r="7" spans="1:21" ht="18" x14ac:dyDescent="0.3">
      <c r="F7" s="24" t="s">
        <v>5</v>
      </c>
      <c r="R7" s="25" t="s">
        <v>1</v>
      </c>
    </row>
    <row r="25" spans="6:6" x14ac:dyDescent="0.3">
      <c r="F25" s="16"/>
    </row>
    <row r="28" spans="6:6" x14ac:dyDescent="0.3">
      <c r="F28" s="26" t="s">
        <v>286</v>
      </c>
    </row>
    <row r="29" spans="6:6" x14ac:dyDescent="0.3">
      <c r="F29" s="27"/>
    </row>
    <row r="30" spans="6:6" x14ac:dyDescent="0.3">
      <c r="F30" s="17"/>
    </row>
    <row r="31" spans="6:6" x14ac:dyDescent="0.3">
      <c r="F31" s="18"/>
    </row>
  </sheetData>
  <sheetProtection sheet="1" objects="1" scenarios="1" selectLockedCells="1"/>
  <mergeCells count="2">
    <mergeCell ref="F28:F29"/>
    <mergeCell ref="A1:U1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C3CE01D-3AE7-40DA-A75F-D1B0D671814C}">
          <x14:formula1>
            <xm:f>'Data for 1st chart'!$A$2:$A$52</xm:f>
          </x14:formula1>
          <xm:sqref>F7</xm:sqref>
        </x14:dataValidation>
        <x14:dataValidation type="list" allowBlank="1" showInputMessage="1" showErrorMessage="1" xr:uid="{3DEFA08D-1DD7-4030-861A-4263151875D1}">
          <x14:formula1>
            <xm:f>'Data for 2nd chart'!$A$2:$A$14</xm:f>
          </x14:formula1>
          <xm:sqref>R7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</vt:i4>
      </vt:variant>
    </vt:vector>
  </HeadingPairs>
  <TitlesOfParts>
    <vt:vector size="13" baseType="lpstr">
      <vt:lpstr>GDP_1975_2025_uploaded</vt:lpstr>
      <vt:lpstr>Data for 1st chart</vt:lpstr>
      <vt:lpstr>Rough for 1st chart</vt:lpstr>
      <vt:lpstr>Data for 2nd chart</vt:lpstr>
      <vt:lpstr>Rough for 2nd chart</vt:lpstr>
      <vt:lpstr>GDP_Dashboard</vt:lpstr>
      <vt:lpstr>Average_BD</vt:lpstr>
      <vt:lpstr>Average_other</vt:lpstr>
      <vt:lpstr>'Rough for 1st chart'!Criteria</vt:lpstr>
      <vt:lpstr>'Rough for 2nd chart'!Criteria</vt:lpstr>
      <vt:lpstr>'Rough for 1st chart'!Extract</vt:lpstr>
      <vt:lpstr>'Rough for 2nd chart'!Extract</vt:lpstr>
      <vt:lpstr>percent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Hasinat Rifa</cp:lastModifiedBy>
  <dcterms:created xsi:type="dcterms:W3CDTF">2025-10-30T06:55:55Z</dcterms:created>
  <dcterms:modified xsi:type="dcterms:W3CDTF">2026-04-09T14:31:28Z</dcterms:modified>
</cp:coreProperties>
</file>